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C:\Users\aleja\OneDrive\Desktop\Perfume's Point STUFF\"/>
    </mc:Choice>
  </mc:AlternateContent>
  <xr:revisionPtr revIDLastSave="0" documentId="13_ncr:1_{ACBD7C56-2105-4098-A067-2B46BA9036F1}" xr6:coauthVersionLast="47" xr6:coauthVersionMax="47" xr10:uidLastSave="{00000000-0000-0000-0000-000000000000}"/>
  <bookViews>
    <workbookView xWindow="-120" yWindow="-120" windowWidth="29040" windowHeight="15720" activeTab="3" xr2:uid="{00000000-000D-0000-FFFF-FFFF00000000}"/>
  </bookViews>
  <sheets>
    <sheet name="Registro de Inventario" sheetId="1" r:id="rId1"/>
    <sheet name="Registro de Ventas" sheetId="2" r:id="rId2"/>
    <sheet name="Resumen" sheetId="3" r:id="rId3"/>
    <sheet name="Control de Créditos" sheetId="4" r:id="rId4"/>
    <sheet name="Cómo usar" sheetId="5" r:id="rId5"/>
  </sheets>
  <definedNames>
    <definedName name="_xlnm._FilterDatabase" localSheetId="0" hidden="1">'Registro de Inventario'!$A$4:$H$304</definedName>
    <definedName name="_xlnm._FilterDatabase" localSheetId="1" hidden="1">'Registro de Ventas'!$A$4:$J$504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4" i="4" l="1"/>
  <c r="D14" i="4" s="1"/>
  <c r="E14" i="4" s="1"/>
  <c r="C14" i="4"/>
  <c r="E13" i="4"/>
  <c r="D13" i="4"/>
  <c r="C13" i="4"/>
  <c r="B13" i="4"/>
  <c r="B23" i="3"/>
  <c r="C23" i="3"/>
  <c r="B24" i="3"/>
  <c r="C24" i="3"/>
  <c r="B25" i="3"/>
  <c r="C25" i="3"/>
  <c r="B26" i="3"/>
  <c r="C26" i="3"/>
  <c r="B27" i="3"/>
  <c r="C27" i="3"/>
  <c r="B28" i="3"/>
  <c r="C28" i="3"/>
  <c r="B29" i="3"/>
  <c r="C29" i="3"/>
  <c r="B30" i="3"/>
  <c r="C30" i="3"/>
  <c r="B21" i="3"/>
  <c r="C21" i="3"/>
  <c r="B22" i="3"/>
  <c r="C22" i="3"/>
  <c r="C12" i="4"/>
  <c r="B12" i="4"/>
  <c r="C11" i="4"/>
  <c r="B11" i="4"/>
  <c r="C10" i="4"/>
  <c r="B10" i="4"/>
  <c r="C9" i="4"/>
  <c r="B9" i="4"/>
  <c r="C8" i="4"/>
  <c r="B8" i="4"/>
  <c r="C7" i="4"/>
  <c r="B7" i="4"/>
  <c r="C6" i="4"/>
  <c r="B6" i="4"/>
  <c r="C5" i="4"/>
  <c r="B5" i="4"/>
  <c r="C4" i="4"/>
  <c r="B4" i="4"/>
  <c r="C20" i="3"/>
  <c r="B20" i="3"/>
  <c r="C19" i="3"/>
  <c r="B19" i="3"/>
  <c r="C18" i="3"/>
  <c r="B18" i="3"/>
  <c r="C17" i="3"/>
  <c r="B17" i="3"/>
  <c r="C16" i="3"/>
  <c r="B16" i="3"/>
  <c r="C15" i="3"/>
  <c r="B15" i="3"/>
  <c r="C14" i="3"/>
  <c r="B14" i="3"/>
  <c r="C13" i="3"/>
  <c r="B13" i="3"/>
  <c r="C12" i="3"/>
  <c r="B12" i="3"/>
  <c r="B6" i="3"/>
  <c r="B4" i="3"/>
  <c r="B3" i="3"/>
  <c r="I504" i="2"/>
  <c r="H504" i="2"/>
  <c r="A504" i="2"/>
  <c r="I503" i="2"/>
  <c r="H503" i="2"/>
  <c r="A503" i="2"/>
  <c r="I502" i="2"/>
  <c r="H502" i="2"/>
  <c r="A502" i="2"/>
  <c r="I501" i="2"/>
  <c r="H501" i="2"/>
  <c r="A501" i="2"/>
  <c r="I500" i="2"/>
  <c r="H500" i="2"/>
  <c r="A500" i="2"/>
  <c r="I499" i="2"/>
  <c r="H499" i="2"/>
  <c r="A499" i="2"/>
  <c r="I498" i="2"/>
  <c r="H498" i="2"/>
  <c r="A498" i="2"/>
  <c r="I497" i="2"/>
  <c r="H497" i="2"/>
  <c r="A497" i="2"/>
  <c r="I496" i="2"/>
  <c r="H496" i="2"/>
  <c r="A496" i="2"/>
  <c r="I495" i="2"/>
  <c r="H495" i="2"/>
  <c r="A495" i="2"/>
  <c r="I494" i="2"/>
  <c r="H494" i="2"/>
  <c r="A494" i="2"/>
  <c r="I493" i="2"/>
  <c r="H493" i="2"/>
  <c r="A493" i="2"/>
  <c r="I492" i="2"/>
  <c r="H492" i="2"/>
  <c r="A492" i="2"/>
  <c r="I491" i="2"/>
  <c r="H491" i="2"/>
  <c r="A491" i="2"/>
  <c r="I490" i="2"/>
  <c r="H490" i="2"/>
  <c r="A490" i="2"/>
  <c r="I489" i="2"/>
  <c r="H489" i="2"/>
  <c r="A489" i="2"/>
  <c r="I488" i="2"/>
  <c r="H488" i="2"/>
  <c r="A488" i="2"/>
  <c r="I487" i="2"/>
  <c r="H487" i="2"/>
  <c r="A487" i="2"/>
  <c r="I486" i="2"/>
  <c r="H486" i="2"/>
  <c r="A486" i="2"/>
  <c r="I485" i="2"/>
  <c r="H485" i="2"/>
  <c r="A485" i="2"/>
  <c r="I484" i="2"/>
  <c r="H484" i="2"/>
  <c r="A484" i="2"/>
  <c r="I483" i="2"/>
  <c r="H483" i="2"/>
  <c r="A483" i="2"/>
  <c r="I482" i="2"/>
  <c r="H482" i="2"/>
  <c r="A482" i="2"/>
  <c r="I481" i="2"/>
  <c r="H481" i="2"/>
  <c r="A481" i="2"/>
  <c r="I480" i="2"/>
  <c r="H480" i="2"/>
  <c r="A480" i="2"/>
  <c r="I479" i="2"/>
  <c r="H479" i="2"/>
  <c r="A479" i="2"/>
  <c r="I478" i="2"/>
  <c r="H478" i="2"/>
  <c r="A478" i="2"/>
  <c r="I477" i="2"/>
  <c r="H477" i="2"/>
  <c r="A477" i="2"/>
  <c r="I476" i="2"/>
  <c r="H476" i="2"/>
  <c r="A476" i="2"/>
  <c r="I475" i="2"/>
  <c r="H475" i="2"/>
  <c r="A475" i="2"/>
  <c r="I474" i="2"/>
  <c r="H474" i="2"/>
  <c r="A474" i="2"/>
  <c r="I473" i="2"/>
  <c r="H473" i="2"/>
  <c r="A473" i="2"/>
  <c r="I472" i="2"/>
  <c r="H472" i="2"/>
  <c r="A472" i="2"/>
  <c r="I471" i="2"/>
  <c r="H471" i="2"/>
  <c r="A471" i="2"/>
  <c r="I470" i="2"/>
  <c r="H470" i="2"/>
  <c r="A470" i="2"/>
  <c r="I469" i="2"/>
  <c r="H469" i="2"/>
  <c r="A469" i="2"/>
  <c r="I468" i="2"/>
  <c r="H468" i="2"/>
  <c r="A468" i="2"/>
  <c r="I467" i="2"/>
  <c r="H467" i="2"/>
  <c r="A467" i="2"/>
  <c r="I466" i="2"/>
  <c r="H466" i="2"/>
  <c r="A466" i="2"/>
  <c r="I465" i="2"/>
  <c r="H465" i="2"/>
  <c r="A465" i="2"/>
  <c r="I464" i="2"/>
  <c r="H464" i="2"/>
  <c r="A464" i="2"/>
  <c r="I463" i="2"/>
  <c r="H463" i="2"/>
  <c r="A463" i="2"/>
  <c r="I462" i="2"/>
  <c r="H462" i="2"/>
  <c r="A462" i="2"/>
  <c r="I461" i="2"/>
  <c r="H461" i="2"/>
  <c r="A461" i="2"/>
  <c r="I460" i="2"/>
  <c r="H460" i="2"/>
  <c r="A460" i="2"/>
  <c r="I459" i="2"/>
  <c r="H459" i="2"/>
  <c r="A459" i="2"/>
  <c r="I458" i="2"/>
  <c r="H458" i="2"/>
  <c r="A458" i="2"/>
  <c r="I457" i="2"/>
  <c r="H457" i="2"/>
  <c r="A457" i="2"/>
  <c r="I456" i="2"/>
  <c r="H456" i="2"/>
  <c r="A456" i="2"/>
  <c r="I455" i="2"/>
  <c r="H455" i="2"/>
  <c r="A455" i="2"/>
  <c r="I454" i="2"/>
  <c r="H454" i="2"/>
  <c r="A454" i="2"/>
  <c r="I453" i="2"/>
  <c r="H453" i="2"/>
  <c r="A453" i="2"/>
  <c r="I452" i="2"/>
  <c r="H452" i="2"/>
  <c r="A452" i="2"/>
  <c r="I451" i="2"/>
  <c r="H451" i="2"/>
  <c r="A451" i="2"/>
  <c r="I450" i="2"/>
  <c r="H450" i="2"/>
  <c r="A450" i="2"/>
  <c r="I449" i="2"/>
  <c r="H449" i="2"/>
  <c r="A449" i="2"/>
  <c r="I448" i="2"/>
  <c r="H448" i="2"/>
  <c r="A448" i="2"/>
  <c r="I447" i="2"/>
  <c r="H447" i="2"/>
  <c r="A447" i="2"/>
  <c r="I446" i="2"/>
  <c r="H446" i="2"/>
  <c r="A446" i="2"/>
  <c r="I445" i="2"/>
  <c r="H445" i="2"/>
  <c r="A445" i="2"/>
  <c r="I444" i="2"/>
  <c r="H444" i="2"/>
  <c r="A444" i="2"/>
  <c r="I443" i="2"/>
  <c r="H443" i="2"/>
  <c r="A443" i="2"/>
  <c r="I442" i="2"/>
  <c r="H442" i="2"/>
  <c r="A442" i="2"/>
  <c r="I441" i="2"/>
  <c r="H441" i="2"/>
  <c r="A441" i="2"/>
  <c r="I440" i="2"/>
  <c r="H440" i="2"/>
  <c r="A440" i="2"/>
  <c r="I439" i="2"/>
  <c r="H439" i="2"/>
  <c r="A439" i="2"/>
  <c r="I438" i="2"/>
  <c r="H438" i="2"/>
  <c r="A438" i="2"/>
  <c r="I437" i="2"/>
  <c r="H437" i="2"/>
  <c r="A437" i="2"/>
  <c r="I436" i="2"/>
  <c r="H436" i="2"/>
  <c r="A436" i="2"/>
  <c r="I435" i="2"/>
  <c r="H435" i="2"/>
  <c r="A435" i="2"/>
  <c r="I434" i="2"/>
  <c r="H434" i="2"/>
  <c r="A434" i="2"/>
  <c r="I433" i="2"/>
  <c r="H433" i="2"/>
  <c r="A433" i="2"/>
  <c r="I432" i="2"/>
  <c r="H432" i="2"/>
  <c r="A432" i="2"/>
  <c r="I431" i="2"/>
  <c r="H431" i="2"/>
  <c r="A431" i="2"/>
  <c r="I430" i="2"/>
  <c r="H430" i="2"/>
  <c r="A430" i="2"/>
  <c r="I429" i="2"/>
  <c r="H429" i="2"/>
  <c r="A429" i="2"/>
  <c r="I428" i="2"/>
  <c r="H428" i="2"/>
  <c r="A428" i="2"/>
  <c r="I427" i="2"/>
  <c r="H427" i="2"/>
  <c r="A427" i="2"/>
  <c r="I426" i="2"/>
  <c r="H426" i="2"/>
  <c r="A426" i="2"/>
  <c r="I425" i="2"/>
  <c r="H425" i="2"/>
  <c r="A425" i="2"/>
  <c r="I424" i="2"/>
  <c r="H424" i="2"/>
  <c r="A424" i="2"/>
  <c r="I423" i="2"/>
  <c r="H423" i="2"/>
  <c r="A423" i="2"/>
  <c r="I422" i="2"/>
  <c r="H422" i="2"/>
  <c r="A422" i="2"/>
  <c r="I421" i="2"/>
  <c r="H421" i="2"/>
  <c r="A421" i="2"/>
  <c r="I420" i="2"/>
  <c r="H420" i="2"/>
  <c r="A420" i="2"/>
  <c r="I419" i="2"/>
  <c r="H419" i="2"/>
  <c r="A419" i="2"/>
  <c r="I418" i="2"/>
  <c r="H418" i="2"/>
  <c r="A418" i="2"/>
  <c r="I417" i="2"/>
  <c r="H417" i="2"/>
  <c r="A417" i="2"/>
  <c r="I416" i="2"/>
  <c r="H416" i="2"/>
  <c r="A416" i="2"/>
  <c r="I415" i="2"/>
  <c r="H415" i="2"/>
  <c r="A415" i="2"/>
  <c r="I414" i="2"/>
  <c r="H414" i="2"/>
  <c r="A414" i="2"/>
  <c r="I413" i="2"/>
  <c r="H413" i="2"/>
  <c r="A413" i="2"/>
  <c r="I412" i="2"/>
  <c r="H412" i="2"/>
  <c r="A412" i="2"/>
  <c r="I411" i="2"/>
  <c r="H411" i="2"/>
  <c r="A411" i="2"/>
  <c r="I410" i="2"/>
  <c r="H410" i="2"/>
  <c r="A410" i="2"/>
  <c r="I409" i="2"/>
  <c r="H409" i="2"/>
  <c r="A409" i="2"/>
  <c r="I408" i="2"/>
  <c r="H408" i="2"/>
  <c r="A408" i="2"/>
  <c r="I407" i="2"/>
  <c r="H407" i="2"/>
  <c r="A407" i="2"/>
  <c r="I406" i="2"/>
  <c r="H406" i="2"/>
  <c r="A406" i="2"/>
  <c r="I405" i="2"/>
  <c r="H405" i="2"/>
  <c r="A405" i="2"/>
  <c r="I404" i="2"/>
  <c r="H404" i="2"/>
  <c r="A404" i="2"/>
  <c r="I403" i="2"/>
  <c r="H403" i="2"/>
  <c r="A403" i="2"/>
  <c r="I402" i="2"/>
  <c r="H402" i="2"/>
  <c r="A402" i="2"/>
  <c r="I401" i="2"/>
  <c r="H401" i="2"/>
  <c r="A401" i="2"/>
  <c r="I400" i="2"/>
  <c r="H400" i="2"/>
  <c r="A400" i="2"/>
  <c r="I399" i="2"/>
  <c r="H399" i="2"/>
  <c r="A399" i="2"/>
  <c r="I398" i="2"/>
  <c r="H398" i="2"/>
  <c r="A398" i="2"/>
  <c r="I397" i="2"/>
  <c r="H397" i="2"/>
  <c r="A397" i="2"/>
  <c r="I396" i="2"/>
  <c r="H396" i="2"/>
  <c r="A396" i="2"/>
  <c r="I395" i="2"/>
  <c r="H395" i="2"/>
  <c r="A395" i="2"/>
  <c r="I394" i="2"/>
  <c r="H394" i="2"/>
  <c r="A394" i="2"/>
  <c r="I393" i="2"/>
  <c r="H393" i="2"/>
  <c r="A393" i="2"/>
  <c r="I392" i="2"/>
  <c r="H392" i="2"/>
  <c r="A392" i="2"/>
  <c r="I391" i="2"/>
  <c r="H391" i="2"/>
  <c r="A391" i="2"/>
  <c r="I390" i="2"/>
  <c r="H390" i="2"/>
  <c r="A390" i="2"/>
  <c r="I389" i="2"/>
  <c r="H389" i="2"/>
  <c r="A389" i="2"/>
  <c r="I388" i="2"/>
  <c r="H388" i="2"/>
  <c r="A388" i="2"/>
  <c r="I387" i="2"/>
  <c r="H387" i="2"/>
  <c r="A387" i="2"/>
  <c r="I386" i="2"/>
  <c r="H386" i="2"/>
  <c r="A386" i="2"/>
  <c r="I385" i="2"/>
  <c r="H385" i="2"/>
  <c r="A385" i="2"/>
  <c r="I384" i="2"/>
  <c r="H384" i="2"/>
  <c r="A384" i="2"/>
  <c r="I383" i="2"/>
  <c r="H383" i="2"/>
  <c r="A383" i="2"/>
  <c r="I382" i="2"/>
  <c r="H382" i="2"/>
  <c r="A382" i="2"/>
  <c r="I381" i="2"/>
  <c r="H381" i="2"/>
  <c r="A381" i="2"/>
  <c r="I380" i="2"/>
  <c r="H380" i="2"/>
  <c r="A380" i="2"/>
  <c r="I379" i="2"/>
  <c r="H379" i="2"/>
  <c r="A379" i="2"/>
  <c r="I378" i="2"/>
  <c r="H378" i="2"/>
  <c r="A378" i="2"/>
  <c r="I377" i="2"/>
  <c r="H377" i="2"/>
  <c r="A377" i="2"/>
  <c r="I376" i="2"/>
  <c r="H376" i="2"/>
  <c r="A376" i="2"/>
  <c r="I375" i="2"/>
  <c r="H375" i="2"/>
  <c r="A375" i="2"/>
  <c r="I374" i="2"/>
  <c r="H374" i="2"/>
  <c r="A374" i="2"/>
  <c r="I373" i="2"/>
  <c r="H373" i="2"/>
  <c r="A373" i="2"/>
  <c r="I372" i="2"/>
  <c r="H372" i="2"/>
  <c r="A372" i="2"/>
  <c r="I371" i="2"/>
  <c r="H371" i="2"/>
  <c r="A371" i="2"/>
  <c r="I370" i="2"/>
  <c r="H370" i="2"/>
  <c r="A370" i="2"/>
  <c r="I369" i="2"/>
  <c r="H369" i="2"/>
  <c r="A369" i="2"/>
  <c r="I368" i="2"/>
  <c r="H368" i="2"/>
  <c r="A368" i="2"/>
  <c r="I367" i="2"/>
  <c r="H367" i="2"/>
  <c r="A367" i="2"/>
  <c r="I366" i="2"/>
  <c r="H366" i="2"/>
  <c r="A366" i="2"/>
  <c r="I365" i="2"/>
  <c r="H365" i="2"/>
  <c r="A365" i="2"/>
  <c r="I364" i="2"/>
  <c r="H364" i="2"/>
  <c r="A364" i="2"/>
  <c r="I363" i="2"/>
  <c r="H363" i="2"/>
  <c r="A363" i="2"/>
  <c r="I362" i="2"/>
  <c r="H362" i="2"/>
  <c r="A362" i="2"/>
  <c r="I361" i="2"/>
  <c r="H361" i="2"/>
  <c r="A361" i="2"/>
  <c r="I360" i="2"/>
  <c r="H360" i="2"/>
  <c r="A360" i="2"/>
  <c r="I359" i="2"/>
  <c r="H359" i="2"/>
  <c r="A359" i="2"/>
  <c r="I358" i="2"/>
  <c r="H358" i="2"/>
  <c r="A358" i="2"/>
  <c r="I357" i="2"/>
  <c r="H357" i="2"/>
  <c r="A357" i="2"/>
  <c r="I356" i="2"/>
  <c r="H356" i="2"/>
  <c r="A356" i="2"/>
  <c r="I355" i="2"/>
  <c r="H355" i="2"/>
  <c r="A355" i="2"/>
  <c r="I354" i="2"/>
  <c r="H354" i="2"/>
  <c r="A354" i="2"/>
  <c r="I353" i="2"/>
  <c r="H353" i="2"/>
  <c r="A353" i="2"/>
  <c r="I352" i="2"/>
  <c r="H352" i="2"/>
  <c r="A352" i="2"/>
  <c r="I351" i="2"/>
  <c r="H351" i="2"/>
  <c r="A351" i="2"/>
  <c r="I350" i="2"/>
  <c r="H350" i="2"/>
  <c r="A350" i="2"/>
  <c r="I349" i="2"/>
  <c r="H349" i="2"/>
  <c r="A349" i="2"/>
  <c r="I348" i="2"/>
  <c r="H348" i="2"/>
  <c r="A348" i="2"/>
  <c r="I347" i="2"/>
  <c r="H347" i="2"/>
  <c r="A347" i="2"/>
  <c r="I346" i="2"/>
  <c r="H346" i="2"/>
  <c r="A346" i="2"/>
  <c r="I345" i="2"/>
  <c r="H345" i="2"/>
  <c r="A345" i="2"/>
  <c r="I344" i="2"/>
  <c r="H344" i="2"/>
  <c r="A344" i="2"/>
  <c r="I343" i="2"/>
  <c r="H343" i="2"/>
  <c r="A343" i="2"/>
  <c r="I342" i="2"/>
  <c r="H342" i="2"/>
  <c r="A342" i="2"/>
  <c r="I341" i="2"/>
  <c r="H341" i="2"/>
  <c r="A341" i="2"/>
  <c r="I340" i="2"/>
  <c r="H340" i="2"/>
  <c r="A340" i="2"/>
  <c r="I339" i="2"/>
  <c r="H339" i="2"/>
  <c r="A339" i="2"/>
  <c r="I338" i="2"/>
  <c r="H338" i="2"/>
  <c r="A338" i="2"/>
  <c r="I337" i="2"/>
  <c r="H337" i="2"/>
  <c r="A337" i="2"/>
  <c r="I336" i="2"/>
  <c r="H336" i="2"/>
  <c r="A336" i="2"/>
  <c r="I335" i="2"/>
  <c r="H335" i="2"/>
  <c r="A335" i="2"/>
  <c r="I334" i="2"/>
  <c r="H334" i="2"/>
  <c r="A334" i="2"/>
  <c r="I333" i="2"/>
  <c r="H333" i="2"/>
  <c r="A333" i="2"/>
  <c r="I332" i="2"/>
  <c r="H332" i="2"/>
  <c r="A332" i="2"/>
  <c r="I331" i="2"/>
  <c r="H331" i="2"/>
  <c r="A331" i="2"/>
  <c r="I330" i="2"/>
  <c r="H330" i="2"/>
  <c r="A330" i="2"/>
  <c r="I329" i="2"/>
  <c r="H329" i="2"/>
  <c r="A329" i="2"/>
  <c r="I328" i="2"/>
  <c r="H328" i="2"/>
  <c r="A328" i="2"/>
  <c r="I327" i="2"/>
  <c r="H327" i="2"/>
  <c r="A327" i="2"/>
  <c r="I326" i="2"/>
  <c r="H326" i="2"/>
  <c r="A326" i="2"/>
  <c r="I325" i="2"/>
  <c r="H325" i="2"/>
  <c r="A325" i="2"/>
  <c r="I324" i="2"/>
  <c r="H324" i="2"/>
  <c r="A324" i="2"/>
  <c r="I323" i="2"/>
  <c r="H323" i="2"/>
  <c r="A323" i="2"/>
  <c r="I322" i="2"/>
  <c r="H322" i="2"/>
  <c r="A322" i="2"/>
  <c r="I321" i="2"/>
  <c r="H321" i="2"/>
  <c r="A321" i="2"/>
  <c r="I320" i="2"/>
  <c r="H320" i="2"/>
  <c r="A320" i="2"/>
  <c r="I319" i="2"/>
  <c r="H319" i="2"/>
  <c r="A319" i="2"/>
  <c r="I318" i="2"/>
  <c r="H318" i="2"/>
  <c r="A318" i="2"/>
  <c r="I317" i="2"/>
  <c r="H317" i="2"/>
  <c r="A317" i="2"/>
  <c r="I316" i="2"/>
  <c r="H316" i="2"/>
  <c r="A316" i="2"/>
  <c r="I315" i="2"/>
  <c r="H315" i="2"/>
  <c r="A315" i="2"/>
  <c r="I314" i="2"/>
  <c r="H314" i="2"/>
  <c r="A314" i="2"/>
  <c r="I313" i="2"/>
  <c r="H313" i="2"/>
  <c r="A313" i="2"/>
  <c r="I312" i="2"/>
  <c r="H312" i="2"/>
  <c r="A312" i="2"/>
  <c r="I311" i="2"/>
  <c r="H311" i="2"/>
  <c r="A311" i="2"/>
  <c r="I310" i="2"/>
  <c r="H310" i="2"/>
  <c r="A310" i="2"/>
  <c r="I309" i="2"/>
  <c r="H309" i="2"/>
  <c r="A309" i="2"/>
  <c r="I308" i="2"/>
  <c r="H308" i="2"/>
  <c r="A308" i="2"/>
  <c r="I307" i="2"/>
  <c r="H307" i="2"/>
  <c r="A307" i="2"/>
  <c r="I306" i="2"/>
  <c r="H306" i="2"/>
  <c r="A306" i="2"/>
  <c r="I305" i="2"/>
  <c r="H305" i="2"/>
  <c r="A305" i="2"/>
  <c r="I304" i="2"/>
  <c r="H304" i="2"/>
  <c r="A304" i="2"/>
  <c r="I303" i="2"/>
  <c r="H303" i="2"/>
  <c r="A303" i="2"/>
  <c r="I302" i="2"/>
  <c r="H302" i="2"/>
  <c r="A302" i="2"/>
  <c r="I301" i="2"/>
  <c r="H301" i="2"/>
  <c r="A301" i="2"/>
  <c r="I300" i="2"/>
  <c r="H300" i="2"/>
  <c r="A300" i="2"/>
  <c r="I299" i="2"/>
  <c r="H299" i="2"/>
  <c r="A299" i="2"/>
  <c r="I298" i="2"/>
  <c r="H298" i="2"/>
  <c r="A298" i="2"/>
  <c r="I297" i="2"/>
  <c r="H297" i="2"/>
  <c r="A297" i="2"/>
  <c r="I296" i="2"/>
  <c r="H296" i="2"/>
  <c r="A296" i="2"/>
  <c r="I295" i="2"/>
  <c r="H295" i="2"/>
  <c r="A295" i="2"/>
  <c r="I294" i="2"/>
  <c r="H294" i="2"/>
  <c r="A294" i="2"/>
  <c r="I293" i="2"/>
  <c r="H293" i="2"/>
  <c r="A293" i="2"/>
  <c r="I292" i="2"/>
  <c r="H292" i="2"/>
  <c r="A292" i="2"/>
  <c r="I291" i="2"/>
  <c r="H291" i="2"/>
  <c r="A291" i="2"/>
  <c r="I290" i="2"/>
  <c r="H290" i="2"/>
  <c r="A290" i="2"/>
  <c r="I289" i="2"/>
  <c r="H289" i="2"/>
  <c r="A289" i="2"/>
  <c r="I288" i="2"/>
  <c r="H288" i="2"/>
  <c r="A288" i="2"/>
  <c r="I287" i="2"/>
  <c r="H287" i="2"/>
  <c r="A287" i="2"/>
  <c r="I286" i="2"/>
  <c r="H286" i="2"/>
  <c r="A286" i="2"/>
  <c r="I285" i="2"/>
  <c r="H285" i="2"/>
  <c r="A285" i="2"/>
  <c r="I284" i="2"/>
  <c r="H284" i="2"/>
  <c r="A284" i="2"/>
  <c r="I283" i="2"/>
  <c r="H283" i="2"/>
  <c r="A283" i="2"/>
  <c r="I282" i="2"/>
  <c r="H282" i="2"/>
  <c r="A282" i="2"/>
  <c r="I281" i="2"/>
  <c r="H281" i="2"/>
  <c r="A281" i="2"/>
  <c r="I280" i="2"/>
  <c r="H280" i="2"/>
  <c r="A280" i="2"/>
  <c r="I279" i="2"/>
  <c r="H279" i="2"/>
  <c r="A279" i="2"/>
  <c r="I278" i="2"/>
  <c r="H278" i="2"/>
  <c r="A278" i="2"/>
  <c r="I277" i="2"/>
  <c r="H277" i="2"/>
  <c r="A277" i="2"/>
  <c r="I276" i="2"/>
  <c r="H276" i="2"/>
  <c r="A276" i="2"/>
  <c r="I275" i="2"/>
  <c r="H275" i="2"/>
  <c r="A275" i="2"/>
  <c r="I274" i="2"/>
  <c r="H274" i="2"/>
  <c r="A274" i="2"/>
  <c r="I273" i="2"/>
  <c r="H273" i="2"/>
  <c r="A273" i="2"/>
  <c r="I272" i="2"/>
  <c r="H272" i="2"/>
  <c r="A272" i="2"/>
  <c r="I271" i="2"/>
  <c r="H271" i="2"/>
  <c r="A271" i="2"/>
  <c r="I270" i="2"/>
  <c r="H270" i="2"/>
  <c r="A270" i="2"/>
  <c r="I269" i="2"/>
  <c r="H269" i="2"/>
  <c r="A269" i="2"/>
  <c r="I268" i="2"/>
  <c r="H268" i="2"/>
  <c r="A268" i="2"/>
  <c r="I267" i="2"/>
  <c r="H267" i="2"/>
  <c r="A267" i="2"/>
  <c r="I266" i="2"/>
  <c r="H266" i="2"/>
  <c r="A266" i="2"/>
  <c r="I265" i="2"/>
  <c r="H265" i="2"/>
  <c r="A265" i="2"/>
  <c r="I264" i="2"/>
  <c r="H264" i="2"/>
  <c r="A264" i="2"/>
  <c r="I263" i="2"/>
  <c r="H263" i="2"/>
  <c r="A263" i="2"/>
  <c r="I262" i="2"/>
  <c r="H262" i="2"/>
  <c r="A262" i="2"/>
  <c r="I261" i="2"/>
  <c r="H261" i="2"/>
  <c r="A261" i="2"/>
  <c r="I260" i="2"/>
  <c r="H260" i="2"/>
  <c r="A260" i="2"/>
  <c r="I259" i="2"/>
  <c r="H259" i="2"/>
  <c r="A259" i="2"/>
  <c r="I258" i="2"/>
  <c r="H258" i="2"/>
  <c r="A258" i="2"/>
  <c r="I257" i="2"/>
  <c r="H257" i="2"/>
  <c r="A257" i="2"/>
  <c r="I256" i="2"/>
  <c r="H256" i="2"/>
  <c r="A256" i="2"/>
  <c r="I255" i="2"/>
  <c r="H255" i="2"/>
  <c r="A255" i="2"/>
  <c r="I254" i="2"/>
  <c r="H254" i="2"/>
  <c r="A254" i="2"/>
  <c r="I253" i="2"/>
  <c r="H253" i="2"/>
  <c r="A253" i="2"/>
  <c r="I252" i="2"/>
  <c r="H252" i="2"/>
  <c r="A252" i="2"/>
  <c r="I251" i="2"/>
  <c r="H251" i="2"/>
  <c r="A251" i="2"/>
  <c r="I250" i="2"/>
  <c r="H250" i="2"/>
  <c r="A250" i="2"/>
  <c r="I249" i="2"/>
  <c r="H249" i="2"/>
  <c r="A249" i="2"/>
  <c r="I248" i="2"/>
  <c r="H248" i="2"/>
  <c r="A248" i="2"/>
  <c r="I247" i="2"/>
  <c r="H247" i="2"/>
  <c r="A247" i="2"/>
  <c r="I246" i="2"/>
  <c r="H246" i="2"/>
  <c r="A246" i="2"/>
  <c r="I245" i="2"/>
  <c r="H245" i="2"/>
  <c r="A245" i="2"/>
  <c r="I244" i="2"/>
  <c r="H244" i="2"/>
  <c r="A244" i="2"/>
  <c r="I243" i="2"/>
  <c r="H243" i="2"/>
  <c r="A243" i="2"/>
  <c r="I242" i="2"/>
  <c r="H242" i="2"/>
  <c r="A242" i="2"/>
  <c r="I241" i="2"/>
  <c r="H241" i="2"/>
  <c r="A241" i="2"/>
  <c r="I240" i="2"/>
  <c r="H240" i="2"/>
  <c r="A240" i="2"/>
  <c r="I239" i="2"/>
  <c r="H239" i="2"/>
  <c r="A239" i="2"/>
  <c r="I238" i="2"/>
  <c r="H238" i="2"/>
  <c r="A238" i="2"/>
  <c r="I237" i="2"/>
  <c r="H237" i="2"/>
  <c r="A237" i="2"/>
  <c r="I236" i="2"/>
  <c r="H236" i="2"/>
  <c r="A236" i="2"/>
  <c r="I235" i="2"/>
  <c r="H235" i="2"/>
  <c r="A235" i="2"/>
  <c r="I234" i="2"/>
  <c r="H234" i="2"/>
  <c r="A234" i="2"/>
  <c r="I233" i="2"/>
  <c r="H233" i="2"/>
  <c r="A233" i="2"/>
  <c r="I232" i="2"/>
  <c r="H232" i="2"/>
  <c r="A232" i="2"/>
  <c r="I231" i="2"/>
  <c r="H231" i="2"/>
  <c r="A231" i="2"/>
  <c r="I230" i="2"/>
  <c r="H230" i="2"/>
  <c r="A230" i="2"/>
  <c r="I229" i="2"/>
  <c r="H229" i="2"/>
  <c r="A229" i="2"/>
  <c r="I228" i="2"/>
  <c r="H228" i="2"/>
  <c r="A228" i="2"/>
  <c r="I227" i="2"/>
  <c r="H227" i="2"/>
  <c r="A227" i="2"/>
  <c r="I226" i="2"/>
  <c r="H226" i="2"/>
  <c r="A226" i="2"/>
  <c r="I225" i="2"/>
  <c r="H225" i="2"/>
  <c r="A225" i="2"/>
  <c r="I224" i="2"/>
  <c r="H224" i="2"/>
  <c r="A224" i="2"/>
  <c r="I223" i="2"/>
  <c r="H223" i="2"/>
  <c r="A223" i="2"/>
  <c r="I222" i="2"/>
  <c r="H222" i="2"/>
  <c r="A222" i="2"/>
  <c r="I221" i="2"/>
  <c r="H221" i="2"/>
  <c r="A221" i="2"/>
  <c r="I220" i="2"/>
  <c r="H220" i="2"/>
  <c r="A220" i="2"/>
  <c r="I219" i="2"/>
  <c r="H219" i="2"/>
  <c r="A219" i="2"/>
  <c r="I218" i="2"/>
  <c r="H218" i="2"/>
  <c r="A218" i="2"/>
  <c r="I217" i="2"/>
  <c r="H217" i="2"/>
  <c r="A217" i="2"/>
  <c r="I216" i="2"/>
  <c r="H216" i="2"/>
  <c r="A216" i="2"/>
  <c r="I215" i="2"/>
  <c r="H215" i="2"/>
  <c r="A215" i="2"/>
  <c r="I214" i="2"/>
  <c r="H214" i="2"/>
  <c r="A214" i="2"/>
  <c r="I213" i="2"/>
  <c r="H213" i="2"/>
  <c r="A213" i="2"/>
  <c r="I212" i="2"/>
  <c r="H212" i="2"/>
  <c r="A212" i="2"/>
  <c r="I211" i="2"/>
  <c r="H211" i="2"/>
  <c r="A211" i="2"/>
  <c r="I210" i="2"/>
  <c r="H210" i="2"/>
  <c r="A210" i="2"/>
  <c r="I209" i="2"/>
  <c r="H209" i="2"/>
  <c r="A209" i="2"/>
  <c r="I208" i="2"/>
  <c r="H208" i="2"/>
  <c r="A208" i="2"/>
  <c r="I207" i="2"/>
  <c r="H207" i="2"/>
  <c r="A207" i="2"/>
  <c r="I206" i="2"/>
  <c r="H206" i="2"/>
  <c r="A206" i="2"/>
  <c r="I205" i="2"/>
  <c r="H205" i="2"/>
  <c r="A205" i="2"/>
  <c r="I204" i="2"/>
  <c r="H204" i="2"/>
  <c r="A204" i="2"/>
  <c r="I203" i="2"/>
  <c r="H203" i="2"/>
  <c r="A203" i="2"/>
  <c r="I202" i="2"/>
  <c r="H202" i="2"/>
  <c r="A202" i="2"/>
  <c r="I201" i="2"/>
  <c r="H201" i="2"/>
  <c r="A201" i="2"/>
  <c r="I200" i="2"/>
  <c r="H200" i="2"/>
  <c r="A200" i="2"/>
  <c r="I199" i="2"/>
  <c r="H199" i="2"/>
  <c r="A199" i="2"/>
  <c r="I198" i="2"/>
  <c r="H198" i="2"/>
  <c r="A198" i="2"/>
  <c r="I197" i="2"/>
  <c r="H197" i="2"/>
  <c r="A197" i="2"/>
  <c r="I196" i="2"/>
  <c r="H196" i="2"/>
  <c r="A196" i="2"/>
  <c r="I195" i="2"/>
  <c r="H195" i="2"/>
  <c r="A195" i="2"/>
  <c r="I194" i="2"/>
  <c r="H194" i="2"/>
  <c r="A194" i="2"/>
  <c r="I193" i="2"/>
  <c r="H193" i="2"/>
  <c r="A193" i="2"/>
  <c r="I192" i="2"/>
  <c r="H192" i="2"/>
  <c r="A192" i="2"/>
  <c r="I191" i="2"/>
  <c r="H191" i="2"/>
  <c r="A191" i="2"/>
  <c r="I190" i="2"/>
  <c r="H190" i="2"/>
  <c r="A190" i="2"/>
  <c r="I189" i="2"/>
  <c r="H189" i="2"/>
  <c r="A189" i="2"/>
  <c r="I188" i="2"/>
  <c r="H188" i="2"/>
  <c r="A188" i="2"/>
  <c r="I187" i="2"/>
  <c r="H187" i="2"/>
  <c r="A187" i="2"/>
  <c r="I186" i="2"/>
  <c r="H186" i="2"/>
  <c r="A186" i="2"/>
  <c r="I185" i="2"/>
  <c r="H185" i="2"/>
  <c r="A185" i="2"/>
  <c r="I184" i="2"/>
  <c r="H184" i="2"/>
  <c r="A184" i="2"/>
  <c r="I183" i="2"/>
  <c r="H183" i="2"/>
  <c r="A183" i="2"/>
  <c r="I182" i="2"/>
  <c r="H182" i="2"/>
  <c r="A182" i="2"/>
  <c r="I181" i="2"/>
  <c r="H181" i="2"/>
  <c r="A181" i="2"/>
  <c r="I180" i="2"/>
  <c r="H180" i="2"/>
  <c r="A180" i="2"/>
  <c r="I179" i="2"/>
  <c r="H179" i="2"/>
  <c r="A179" i="2"/>
  <c r="I178" i="2"/>
  <c r="H178" i="2"/>
  <c r="A178" i="2"/>
  <c r="I177" i="2"/>
  <c r="H177" i="2"/>
  <c r="A177" i="2"/>
  <c r="I176" i="2"/>
  <c r="H176" i="2"/>
  <c r="A176" i="2"/>
  <c r="I175" i="2"/>
  <c r="H175" i="2"/>
  <c r="A175" i="2"/>
  <c r="I174" i="2"/>
  <c r="H174" i="2"/>
  <c r="A174" i="2"/>
  <c r="I173" i="2"/>
  <c r="H173" i="2"/>
  <c r="A173" i="2"/>
  <c r="I172" i="2"/>
  <c r="H172" i="2"/>
  <c r="A172" i="2"/>
  <c r="I171" i="2"/>
  <c r="H171" i="2"/>
  <c r="A171" i="2"/>
  <c r="I170" i="2"/>
  <c r="H170" i="2"/>
  <c r="A170" i="2"/>
  <c r="I169" i="2"/>
  <c r="H169" i="2"/>
  <c r="A169" i="2"/>
  <c r="I168" i="2"/>
  <c r="H168" i="2"/>
  <c r="A168" i="2"/>
  <c r="I167" i="2"/>
  <c r="H167" i="2"/>
  <c r="A167" i="2"/>
  <c r="I166" i="2"/>
  <c r="H166" i="2"/>
  <c r="A166" i="2"/>
  <c r="I165" i="2"/>
  <c r="H165" i="2"/>
  <c r="A165" i="2"/>
  <c r="I164" i="2"/>
  <c r="H164" i="2"/>
  <c r="A164" i="2"/>
  <c r="I163" i="2"/>
  <c r="H163" i="2"/>
  <c r="A163" i="2"/>
  <c r="I162" i="2"/>
  <c r="H162" i="2"/>
  <c r="A162" i="2"/>
  <c r="I161" i="2"/>
  <c r="H161" i="2"/>
  <c r="A161" i="2"/>
  <c r="I160" i="2"/>
  <c r="H160" i="2"/>
  <c r="A160" i="2"/>
  <c r="I159" i="2"/>
  <c r="H159" i="2"/>
  <c r="A159" i="2"/>
  <c r="I158" i="2"/>
  <c r="H158" i="2"/>
  <c r="A158" i="2"/>
  <c r="I157" i="2"/>
  <c r="H157" i="2"/>
  <c r="A157" i="2"/>
  <c r="I156" i="2"/>
  <c r="H156" i="2"/>
  <c r="A156" i="2"/>
  <c r="I155" i="2"/>
  <c r="H155" i="2"/>
  <c r="A155" i="2"/>
  <c r="I154" i="2"/>
  <c r="H154" i="2"/>
  <c r="A154" i="2"/>
  <c r="I153" i="2"/>
  <c r="H153" i="2"/>
  <c r="A153" i="2"/>
  <c r="I152" i="2"/>
  <c r="H152" i="2"/>
  <c r="A152" i="2"/>
  <c r="I151" i="2"/>
  <c r="H151" i="2"/>
  <c r="A151" i="2"/>
  <c r="I150" i="2"/>
  <c r="H150" i="2"/>
  <c r="A150" i="2"/>
  <c r="I149" i="2"/>
  <c r="H149" i="2"/>
  <c r="A149" i="2"/>
  <c r="I148" i="2"/>
  <c r="H148" i="2"/>
  <c r="A148" i="2"/>
  <c r="I147" i="2"/>
  <c r="H147" i="2"/>
  <c r="A147" i="2"/>
  <c r="I146" i="2"/>
  <c r="H146" i="2"/>
  <c r="A146" i="2"/>
  <c r="I145" i="2"/>
  <c r="H145" i="2"/>
  <c r="A145" i="2"/>
  <c r="I144" i="2"/>
  <c r="H144" i="2"/>
  <c r="A144" i="2"/>
  <c r="I143" i="2"/>
  <c r="H143" i="2"/>
  <c r="A143" i="2"/>
  <c r="I142" i="2"/>
  <c r="H142" i="2"/>
  <c r="A142" i="2"/>
  <c r="I141" i="2"/>
  <c r="H141" i="2"/>
  <c r="A141" i="2"/>
  <c r="I140" i="2"/>
  <c r="H140" i="2"/>
  <c r="A140" i="2"/>
  <c r="I139" i="2"/>
  <c r="H139" i="2"/>
  <c r="A139" i="2"/>
  <c r="I138" i="2"/>
  <c r="H138" i="2"/>
  <c r="A138" i="2"/>
  <c r="I137" i="2"/>
  <c r="H137" i="2"/>
  <c r="A137" i="2"/>
  <c r="I136" i="2"/>
  <c r="H136" i="2"/>
  <c r="A136" i="2"/>
  <c r="I135" i="2"/>
  <c r="H135" i="2"/>
  <c r="A135" i="2"/>
  <c r="I134" i="2"/>
  <c r="H134" i="2"/>
  <c r="A134" i="2"/>
  <c r="I133" i="2"/>
  <c r="H133" i="2"/>
  <c r="A133" i="2"/>
  <c r="I132" i="2"/>
  <c r="H132" i="2"/>
  <c r="A132" i="2"/>
  <c r="I131" i="2"/>
  <c r="H131" i="2"/>
  <c r="A131" i="2"/>
  <c r="I130" i="2"/>
  <c r="H130" i="2"/>
  <c r="A130" i="2"/>
  <c r="I129" i="2"/>
  <c r="H129" i="2"/>
  <c r="A129" i="2"/>
  <c r="I128" i="2"/>
  <c r="H128" i="2"/>
  <c r="A128" i="2"/>
  <c r="I127" i="2"/>
  <c r="H127" i="2"/>
  <c r="A127" i="2"/>
  <c r="I126" i="2"/>
  <c r="H126" i="2"/>
  <c r="A126" i="2"/>
  <c r="I125" i="2"/>
  <c r="H125" i="2"/>
  <c r="A125" i="2"/>
  <c r="I124" i="2"/>
  <c r="H124" i="2"/>
  <c r="A124" i="2"/>
  <c r="I123" i="2"/>
  <c r="H123" i="2"/>
  <c r="A123" i="2"/>
  <c r="I122" i="2"/>
  <c r="H122" i="2"/>
  <c r="A122" i="2"/>
  <c r="I121" i="2"/>
  <c r="H121" i="2"/>
  <c r="A121" i="2"/>
  <c r="I120" i="2"/>
  <c r="H120" i="2"/>
  <c r="A120" i="2"/>
  <c r="I119" i="2"/>
  <c r="H119" i="2"/>
  <c r="A119" i="2"/>
  <c r="I118" i="2"/>
  <c r="H118" i="2"/>
  <c r="A118" i="2"/>
  <c r="I117" i="2"/>
  <c r="H117" i="2"/>
  <c r="A117" i="2"/>
  <c r="I116" i="2"/>
  <c r="H116" i="2"/>
  <c r="A116" i="2"/>
  <c r="I115" i="2"/>
  <c r="H115" i="2"/>
  <c r="A115" i="2"/>
  <c r="I114" i="2"/>
  <c r="H114" i="2"/>
  <c r="A114" i="2"/>
  <c r="I113" i="2"/>
  <c r="H113" i="2"/>
  <c r="A113" i="2"/>
  <c r="I112" i="2"/>
  <c r="H112" i="2"/>
  <c r="A112" i="2"/>
  <c r="I111" i="2"/>
  <c r="H111" i="2"/>
  <c r="A111" i="2"/>
  <c r="I110" i="2"/>
  <c r="H110" i="2"/>
  <c r="A110" i="2"/>
  <c r="I109" i="2"/>
  <c r="H109" i="2"/>
  <c r="A109" i="2"/>
  <c r="I108" i="2"/>
  <c r="H108" i="2"/>
  <c r="A108" i="2"/>
  <c r="I107" i="2"/>
  <c r="H107" i="2"/>
  <c r="A107" i="2"/>
  <c r="I106" i="2"/>
  <c r="H106" i="2"/>
  <c r="A106" i="2"/>
  <c r="I105" i="2"/>
  <c r="H105" i="2"/>
  <c r="A105" i="2"/>
  <c r="I104" i="2"/>
  <c r="H104" i="2"/>
  <c r="A104" i="2"/>
  <c r="I103" i="2"/>
  <c r="H103" i="2"/>
  <c r="A103" i="2"/>
  <c r="I102" i="2"/>
  <c r="H102" i="2"/>
  <c r="A102" i="2"/>
  <c r="I101" i="2"/>
  <c r="H101" i="2"/>
  <c r="A101" i="2"/>
  <c r="I100" i="2"/>
  <c r="H100" i="2"/>
  <c r="A100" i="2"/>
  <c r="I99" i="2"/>
  <c r="H99" i="2"/>
  <c r="A99" i="2"/>
  <c r="I98" i="2"/>
  <c r="H98" i="2"/>
  <c r="A98" i="2"/>
  <c r="I97" i="2"/>
  <c r="H97" i="2"/>
  <c r="A97" i="2"/>
  <c r="I96" i="2"/>
  <c r="H96" i="2"/>
  <c r="A96" i="2"/>
  <c r="I95" i="2"/>
  <c r="H95" i="2"/>
  <c r="A95" i="2"/>
  <c r="I94" i="2"/>
  <c r="H94" i="2"/>
  <c r="A94" i="2"/>
  <c r="I93" i="2"/>
  <c r="H93" i="2"/>
  <c r="A93" i="2"/>
  <c r="I92" i="2"/>
  <c r="H92" i="2"/>
  <c r="A92" i="2"/>
  <c r="I91" i="2"/>
  <c r="H91" i="2"/>
  <c r="A91" i="2"/>
  <c r="I90" i="2"/>
  <c r="H90" i="2"/>
  <c r="A90" i="2"/>
  <c r="I89" i="2"/>
  <c r="H89" i="2"/>
  <c r="A89" i="2"/>
  <c r="I88" i="2"/>
  <c r="H88" i="2"/>
  <c r="A88" i="2"/>
  <c r="I87" i="2"/>
  <c r="H87" i="2"/>
  <c r="A87" i="2"/>
  <c r="I86" i="2"/>
  <c r="H86" i="2"/>
  <c r="A86" i="2"/>
  <c r="I85" i="2"/>
  <c r="H85" i="2"/>
  <c r="A85" i="2"/>
  <c r="I84" i="2"/>
  <c r="H84" i="2"/>
  <c r="A84" i="2"/>
  <c r="I83" i="2"/>
  <c r="H83" i="2"/>
  <c r="A83" i="2"/>
  <c r="I82" i="2"/>
  <c r="H82" i="2"/>
  <c r="A82" i="2"/>
  <c r="I81" i="2"/>
  <c r="H81" i="2"/>
  <c r="A81" i="2"/>
  <c r="I80" i="2"/>
  <c r="H80" i="2"/>
  <c r="A80" i="2"/>
  <c r="I79" i="2"/>
  <c r="H79" i="2"/>
  <c r="A79" i="2"/>
  <c r="I78" i="2"/>
  <c r="H78" i="2"/>
  <c r="A78" i="2"/>
  <c r="I77" i="2"/>
  <c r="H77" i="2"/>
  <c r="A77" i="2"/>
  <c r="I76" i="2"/>
  <c r="H76" i="2"/>
  <c r="A76" i="2"/>
  <c r="I75" i="2"/>
  <c r="H75" i="2"/>
  <c r="A75" i="2"/>
  <c r="I74" i="2"/>
  <c r="H74" i="2"/>
  <c r="A74" i="2"/>
  <c r="I73" i="2"/>
  <c r="H73" i="2"/>
  <c r="A73" i="2"/>
  <c r="I72" i="2"/>
  <c r="H72" i="2"/>
  <c r="A72" i="2"/>
  <c r="I71" i="2"/>
  <c r="H71" i="2"/>
  <c r="A71" i="2"/>
  <c r="I70" i="2"/>
  <c r="H70" i="2"/>
  <c r="A70" i="2"/>
  <c r="I69" i="2"/>
  <c r="H69" i="2"/>
  <c r="A69" i="2"/>
  <c r="I68" i="2"/>
  <c r="H68" i="2"/>
  <c r="A68" i="2"/>
  <c r="I67" i="2"/>
  <c r="H67" i="2"/>
  <c r="A67" i="2"/>
  <c r="I66" i="2"/>
  <c r="H66" i="2"/>
  <c r="A66" i="2"/>
  <c r="I65" i="2"/>
  <c r="H65" i="2"/>
  <c r="A65" i="2"/>
  <c r="I64" i="2"/>
  <c r="H64" i="2"/>
  <c r="A64" i="2"/>
  <c r="I63" i="2"/>
  <c r="H63" i="2"/>
  <c r="A63" i="2"/>
  <c r="I62" i="2"/>
  <c r="H62" i="2"/>
  <c r="A62" i="2"/>
  <c r="I61" i="2"/>
  <c r="H61" i="2"/>
  <c r="A61" i="2"/>
  <c r="I60" i="2"/>
  <c r="H60" i="2"/>
  <c r="A60" i="2"/>
  <c r="I59" i="2"/>
  <c r="H59" i="2"/>
  <c r="A59" i="2"/>
  <c r="I58" i="2"/>
  <c r="H58" i="2"/>
  <c r="A58" i="2"/>
  <c r="I57" i="2"/>
  <c r="H57" i="2"/>
  <c r="A57" i="2"/>
  <c r="I56" i="2"/>
  <c r="H56" i="2"/>
  <c r="A56" i="2"/>
  <c r="I55" i="2"/>
  <c r="H55" i="2"/>
  <c r="A55" i="2"/>
  <c r="I54" i="2"/>
  <c r="H54" i="2"/>
  <c r="A54" i="2"/>
  <c r="I53" i="2"/>
  <c r="H53" i="2"/>
  <c r="A53" i="2"/>
  <c r="I52" i="2"/>
  <c r="H52" i="2"/>
  <c r="A52" i="2"/>
  <c r="I51" i="2"/>
  <c r="H51" i="2"/>
  <c r="A51" i="2"/>
  <c r="I50" i="2"/>
  <c r="H50" i="2"/>
  <c r="A50" i="2"/>
  <c r="I49" i="2"/>
  <c r="H49" i="2"/>
  <c r="A49" i="2"/>
  <c r="I48" i="2"/>
  <c r="H48" i="2"/>
  <c r="A48" i="2"/>
  <c r="I47" i="2"/>
  <c r="H47" i="2"/>
  <c r="A47" i="2"/>
  <c r="I46" i="2"/>
  <c r="H46" i="2"/>
  <c r="A46" i="2"/>
  <c r="I45" i="2"/>
  <c r="H45" i="2"/>
  <c r="A45" i="2"/>
  <c r="I44" i="2"/>
  <c r="H44" i="2"/>
  <c r="A44" i="2"/>
  <c r="I43" i="2"/>
  <c r="H43" i="2"/>
  <c r="A43" i="2"/>
  <c r="I42" i="2"/>
  <c r="H42" i="2"/>
  <c r="A42" i="2"/>
  <c r="I41" i="2"/>
  <c r="H41" i="2"/>
  <c r="A41" i="2"/>
  <c r="I40" i="2"/>
  <c r="H40" i="2"/>
  <c r="A40" i="2"/>
  <c r="I39" i="2"/>
  <c r="H39" i="2"/>
  <c r="A39" i="2"/>
  <c r="I38" i="2"/>
  <c r="H38" i="2"/>
  <c r="A38" i="2"/>
  <c r="I37" i="2"/>
  <c r="H37" i="2"/>
  <c r="A37" i="2"/>
  <c r="I36" i="2"/>
  <c r="H36" i="2"/>
  <c r="A36" i="2"/>
  <c r="I35" i="2"/>
  <c r="H35" i="2"/>
  <c r="A35" i="2"/>
  <c r="I34" i="2"/>
  <c r="H34" i="2"/>
  <c r="A34" i="2"/>
  <c r="I33" i="2"/>
  <c r="H33" i="2"/>
  <c r="A33" i="2"/>
  <c r="I32" i="2"/>
  <c r="H32" i="2"/>
  <c r="A32" i="2"/>
  <c r="I31" i="2"/>
  <c r="H31" i="2"/>
  <c r="A31" i="2"/>
  <c r="I30" i="2"/>
  <c r="H30" i="2"/>
  <c r="A30" i="2"/>
  <c r="I29" i="2"/>
  <c r="H29" i="2"/>
  <c r="A29" i="2"/>
  <c r="I28" i="2"/>
  <c r="H28" i="2"/>
  <c r="A28" i="2"/>
  <c r="H27" i="2"/>
  <c r="I27" i="2" s="1"/>
  <c r="A27" i="2"/>
  <c r="H26" i="2"/>
  <c r="I26" i="2" s="1"/>
  <c r="A26" i="2"/>
  <c r="H25" i="2"/>
  <c r="I25" i="2" s="1"/>
  <c r="A25" i="2"/>
  <c r="H24" i="2"/>
  <c r="I24" i="2" s="1"/>
  <c r="A24" i="2"/>
  <c r="H23" i="2"/>
  <c r="I23" i="2" s="1"/>
  <c r="A23" i="2"/>
  <c r="H22" i="2"/>
  <c r="I22" i="2" s="1"/>
  <c r="A22" i="2"/>
  <c r="H21" i="2"/>
  <c r="I21" i="2" s="1"/>
  <c r="A21" i="2"/>
  <c r="H20" i="2"/>
  <c r="I20" i="2" s="1"/>
  <c r="A20" i="2"/>
  <c r="H19" i="2"/>
  <c r="I19" i="2" s="1"/>
  <c r="A19" i="2"/>
  <c r="H18" i="2"/>
  <c r="I18" i="2" s="1"/>
  <c r="A18" i="2"/>
  <c r="H17" i="2"/>
  <c r="I17" i="2" s="1"/>
  <c r="A17" i="2"/>
  <c r="H16" i="2"/>
  <c r="I16" i="2" s="1"/>
  <c r="H15" i="2"/>
  <c r="I15" i="2" s="1"/>
  <c r="H14" i="2"/>
  <c r="I14" i="2" s="1"/>
  <c r="A14" i="2"/>
  <c r="H13" i="2"/>
  <c r="I13" i="2" s="1"/>
  <c r="A13" i="2"/>
  <c r="H12" i="2"/>
  <c r="I12" i="2" s="1"/>
  <c r="A12" i="2"/>
  <c r="H11" i="2"/>
  <c r="I11" i="2" s="1"/>
  <c r="A11" i="2"/>
  <c r="H10" i="2"/>
  <c r="I10" i="2" s="1"/>
  <c r="A10" i="2"/>
  <c r="H9" i="2"/>
  <c r="I9" i="2" s="1"/>
  <c r="A9" i="2"/>
  <c r="H8" i="2"/>
  <c r="I8" i="2" s="1"/>
  <c r="A8" i="2"/>
  <c r="H7" i="2"/>
  <c r="I7" i="2" s="1"/>
  <c r="A7" i="2"/>
  <c r="H6" i="2"/>
  <c r="I6" i="2" s="1"/>
  <c r="A6" i="2"/>
  <c r="H5" i="2"/>
  <c r="A5" i="2"/>
  <c r="G304" i="1"/>
  <c r="F304" i="1"/>
  <c r="E304" i="1"/>
  <c r="G303" i="1"/>
  <c r="F303" i="1"/>
  <c r="E303" i="1"/>
  <c r="G302" i="1"/>
  <c r="F302" i="1"/>
  <c r="E302" i="1"/>
  <c r="G301" i="1"/>
  <c r="F301" i="1"/>
  <c r="E301" i="1"/>
  <c r="G300" i="1"/>
  <c r="F300" i="1"/>
  <c r="E300" i="1"/>
  <c r="G299" i="1"/>
  <c r="F299" i="1"/>
  <c r="E299" i="1"/>
  <c r="G298" i="1"/>
  <c r="F298" i="1"/>
  <c r="E298" i="1"/>
  <c r="G297" i="1"/>
  <c r="F297" i="1"/>
  <c r="E297" i="1"/>
  <c r="G296" i="1"/>
  <c r="F296" i="1"/>
  <c r="E296" i="1"/>
  <c r="G295" i="1"/>
  <c r="F295" i="1"/>
  <c r="E295" i="1"/>
  <c r="G294" i="1"/>
  <c r="F294" i="1"/>
  <c r="E294" i="1"/>
  <c r="G293" i="1"/>
  <c r="F293" i="1"/>
  <c r="E293" i="1"/>
  <c r="G292" i="1"/>
  <c r="F292" i="1"/>
  <c r="E292" i="1"/>
  <c r="G291" i="1"/>
  <c r="F291" i="1"/>
  <c r="E291" i="1"/>
  <c r="G290" i="1"/>
  <c r="F290" i="1"/>
  <c r="E290" i="1"/>
  <c r="G289" i="1"/>
  <c r="F289" i="1"/>
  <c r="E289" i="1"/>
  <c r="G288" i="1"/>
  <c r="F288" i="1"/>
  <c r="E288" i="1"/>
  <c r="G287" i="1"/>
  <c r="F287" i="1"/>
  <c r="E287" i="1"/>
  <c r="G286" i="1"/>
  <c r="F286" i="1"/>
  <c r="E286" i="1"/>
  <c r="G285" i="1"/>
  <c r="F285" i="1"/>
  <c r="E285" i="1"/>
  <c r="G284" i="1"/>
  <c r="F284" i="1"/>
  <c r="E284" i="1"/>
  <c r="G283" i="1"/>
  <c r="F283" i="1"/>
  <c r="E283" i="1"/>
  <c r="G282" i="1"/>
  <c r="F282" i="1"/>
  <c r="E282" i="1"/>
  <c r="G281" i="1"/>
  <c r="F281" i="1"/>
  <c r="E281" i="1"/>
  <c r="G280" i="1"/>
  <c r="F280" i="1"/>
  <c r="E280" i="1"/>
  <c r="G279" i="1"/>
  <c r="F279" i="1"/>
  <c r="E279" i="1"/>
  <c r="G278" i="1"/>
  <c r="F278" i="1"/>
  <c r="E278" i="1"/>
  <c r="G277" i="1"/>
  <c r="F277" i="1"/>
  <c r="E277" i="1"/>
  <c r="G276" i="1"/>
  <c r="F276" i="1"/>
  <c r="E276" i="1"/>
  <c r="G275" i="1"/>
  <c r="F275" i="1"/>
  <c r="E275" i="1"/>
  <c r="G274" i="1"/>
  <c r="F274" i="1"/>
  <c r="E274" i="1"/>
  <c r="G273" i="1"/>
  <c r="F273" i="1"/>
  <c r="E273" i="1"/>
  <c r="G272" i="1"/>
  <c r="F272" i="1"/>
  <c r="E272" i="1"/>
  <c r="G271" i="1"/>
  <c r="F271" i="1"/>
  <c r="E271" i="1"/>
  <c r="G270" i="1"/>
  <c r="F270" i="1"/>
  <c r="E270" i="1"/>
  <c r="G269" i="1"/>
  <c r="F269" i="1"/>
  <c r="E269" i="1"/>
  <c r="G268" i="1"/>
  <c r="F268" i="1"/>
  <c r="E268" i="1"/>
  <c r="G267" i="1"/>
  <c r="F267" i="1"/>
  <c r="E267" i="1"/>
  <c r="G266" i="1"/>
  <c r="F266" i="1"/>
  <c r="E266" i="1"/>
  <c r="G265" i="1"/>
  <c r="F265" i="1"/>
  <c r="E265" i="1"/>
  <c r="G264" i="1"/>
  <c r="F264" i="1"/>
  <c r="E264" i="1"/>
  <c r="G263" i="1"/>
  <c r="F263" i="1"/>
  <c r="E263" i="1"/>
  <c r="G262" i="1"/>
  <c r="F262" i="1"/>
  <c r="E262" i="1"/>
  <c r="G261" i="1"/>
  <c r="F261" i="1"/>
  <c r="E261" i="1"/>
  <c r="G260" i="1"/>
  <c r="F260" i="1"/>
  <c r="E260" i="1"/>
  <c r="G259" i="1"/>
  <c r="F259" i="1"/>
  <c r="E259" i="1"/>
  <c r="G258" i="1"/>
  <c r="F258" i="1"/>
  <c r="E258" i="1"/>
  <c r="G257" i="1"/>
  <c r="F257" i="1"/>
  <c r="E257" i="1"/>
  <c r="G256" i="1"/>
  <c r="F256" i="1"/>
  <c r="E256" i="1"/>
  <c r="G255" i="1"/>
  <c r="F255" i="1"/>
  <c r="E255" i="1"/>
  <c r="G254" i="1"/>
  <c r="F254" i="1"/>
  <c r="E254" i="1"/>
  <c r="G253" i="1"/>
  <c r="F253" i="1"/>
  <c r="E253" i="1"/>
  <c r="G252" i="1"/>
  <c r="F252" i="1"/>
  <c r="E252" i="1"/>
  <c r="G251" i="1"/>
  <c r="F251" i="1"/>
  <c r="E251" i="1"/>
  <c r="G250" i="1"/>
  <c r="F250" i="1"/>
  <c r="E250" i="1"/>
  <c r="G249" i="1"/>
  <c r="F249" i="1"/>
  <c r="E249" i="1"/>
  <c r="G248" i="1"/>
  <c r="F248" i="1"/>
  <c r="E248" i="1"/>
  <c r="G247" i="1"/>
  <c r="F247" i="1"/>
  <c r="E247" i="1"/>
  <c r="G246" i="1"/>
  <c r="F246" i="1"/>
  <c r="E246" i="1"/>
  <c r="G245" i="1"/>
  <c r="F245" i="1"/>
  <c r="E245" i="1"/>
  <c r="G244" i="1"/>
  <c r="F244" i="1"/>
  <c r="E244" i="1"/>
  <c r="G243" i="1"/>
  <c r="F243" i="1"/>
  <c r="E243" i="1"/>
  <c r="G242" i="1"/>
  <c r="F242" i="1"/>
  <c r="E242" i="1"/>
  <c r="G241" i="1"/>
  <c r="F241" i="1"/>
  <c r="E241" i="1"/>
  <c r="G240" i="1"/>
  <c r="F240" i="1"/>
  <c r="E240" i="1"/>
  <c r="G239" i="1"/>
  <c r="F239" i="1"/>
  <c r="E239" i="1"/>
  <c r="G238" i="1"/>
  <c r="F238" i="1"/>
  <c r="E238" i="1"/>
  <c r="G237" i="1"/>
  <c r="F237" i="1"/>
  <c r="E237" i="1"/>
  <c r="G236" i="1"/>
  <c r="F236" i="1"/>
  <c r="E236" i="1"/>
  <c r="G235" i="1"/>
  <c r="F235" i="1"/>
  <c r="E235" i="1"/>
  <c r="G234" i="1"/>
  <c r="F234" i="1"/>
  <c r="E234" i="1"/>
  <c r="G233" i="1"/>
  <c r="F233" i="1"/>
  <c r="E233" i="1"/>
  <c r="G232" i="1"/>
  <c r="F232" i="1"/>
  <c r="E232" i="1"/>
  <c r="G231" i="1"/>
  <c r="F231" i="1"/>
  <c r="E231" i="1"/>
  <c r="G230" i="1"/>
  <c r="F230" i="1"/>
  <c r="E230" i="1"/>
  <c r="G229" i="1"/>
  <c r="F229" i="1"/>
  <c r="E229" i="1"/>
  <c r="G228" i="1"/>
  <c r="F228" i="1"/>
  <c r="E228" i="1"/>
  <c r="G227" i="1"/>
  <c r="F227" i="1"/>
  <c r="E227" i="1"/>
  <c r="G226" i="1"/>
  <c r="F226" i="1"/>
  <c r="E226" i="1"/>
  <c r="G225" i="1"/>
  <c r="F225" i="1"/>
  <c r="E225" i="1"/>
  <c r="G224" i="1"/>
  <c r="F224" i="1"/>
  <c r="E224" i="1"/>
  <c r="G223" i="1"/>
  <c r="F223" i="1"/>
  <c r="E223" i="1"/>
  <c r="G222" i="1"/>
  <c r="F222" i="1"/>
  <c r="E222" i="1"/>
  <c r="G221" i="1"/>
  <c r="F221" i="1"/>
  <c r="E221" i="1"/>
  <c r="G220" i="1"/>
  <c r="F220" i="1"/>
  <c r="E220" i="1"/>
  <c r="G219" i="1"/>
  <c r="F219" i="1"/>
  <c r="E219" i="1"/>
  <c r="G218" i="1"/>
  <c r="F218" i="1"/>
  <c r="E218" i="1"/>
  <c r="G217" i="1"/>
  <c r="F217" i="1"/>
  <c r="E217" i="1"/>
  <c r="G216" i="1"/>
  <c r="F216" i="1"/>
  <c r="E216" i="1"/>
  <c r="G215" i="1"/>
  <c r="F215" i="1"/>
  <c r="E215" i="1"/>
  <c r="G214" i="1"/>
  <c r="F214" i="1"/>
  <c r="E214" i="1"/>
  <c r="G213" i="1"/>
  <c r="F213" i="1"/>
  <c r="E213" i="1"/>
  <c r="G212" i="1"/>
  <c r="F212" i="1"/>
  <c r="E212" i="1"/>
  <c r="G211" i="1"/>
  <c r="F211" i="1"/>
  <c r="E211" i="1"/>
  <c r="G210" i="1"/>
  <c r="F210" i="1"/>
  <c r="E210" i="1"/>
  <c r="G209" i="1"/>
  <c r="F209" i="1"/>
  <c r="E209" i="1"/>
  <c r="G208" i="1"/>
  <c r="F208" i="1"/>
  <c r="E208" i="1"/>
  <c r="G207" i="1"/>
  <c r="F207" i="1"/>
  <c r="E207" i="1"/>
  <c r="G206" i="1"/>
  <c r="F206" i="1"/>
  <c r="E206" i="1"/>
  <c r="G205" i="1"/>
  <c r="F205" i="1"/>
  <c r="E205" i="1"/>
  <c r="G204" i="1"/>
  <c r="F204" i="1"/>
  <c r="E204" i="1"/>
  <c r="G203" i="1"/>
  <c r="F203" i="1"/>
  <c r="E203" i="1"/>
  <c r="G202" i="1"/>
  <c r="F202" i="1"/>
  <c r="E202" i="1"/>
  <c r="G201" i="1"/>
  <c r="F201" i="1"/>
  <c r="E201" i="1"/>
  <c r="G200" i="1"/>
  <c r="F200" i="1"/>
  <c r="E200" i="1"/>
  <c r="G199" i="1"/>
  <c r="F199" i="1"/>
  <c r="E199" i="1"/>
  <c r="G198" i="1"/>
  <c r="F198" i="1"/>
  <c r="E198" i="1"/>
  <c r="G197" i="1"/>
  <c r="F197" i="1"/>
  <c r="E197" i="1"/>
  <c r="G196" i="1"/>
  <c r="F196" i="1"/>
  <c r="E196" i="1"/>
  <c r="G195" i="1"/>
  <c r="F195" i="1"/>
  <c r="E195" i="1"/>
  <c r="G194" i="1"/>
  <c r="F194" i="1"/>
  <c r="E194" i="1"/>
  <c r="G193" i="1"/>
  <c r="F193" i="1"/>
  <c r="E193" i="1"/>
  <c r="G192" i="1"/>
  <c r="F192" i="1"/>
  <c r="E192" i="1"/>
  <c r="G191" i="1"/>
  <c r="F191" i="1"/>
  <c r="E191" i="1"/>
  <c r="G190" i="1"/>
  <c r="F190" i="1"/>
  <c r="E190" i="1"/>
  <c r="G189" i="1"/>
  <c r="F189" i="1"/>
  <c r="E189" i="1"/>
  <c r="G188" i="1"/>
  <c r="F188" i="1"/>
  <c r="E188" i="1"/>
  <c r="G187" i="1"/>
  <c r="F187" i="1"/>
  <c r="E187" i="1"/>
  <c r="G186" i="1"/>
  <c r="F186" i="1"/>
  <c r="E186" i="1"/>
  <c r="G185" i="1"/>
  <c r="F185" i="1"/>
  <c r="E185" i="1"/>
  <c r="G184" i="1"/>
  <c r="F184" i="1"/>
  <c r="E184" i="1"/>
  <c r="G183" i="1"/>
  <c r="F183" i="1"/>
  <c r="E183" i="1"/>
  <c r="G182" i="1"/>
  <c r="F182" i="1"/>
  <c r="E182" i="1"/>
  <c r="G181" i="1"/>
  <c r="F181" i="1"/>
  <c r="E181" i="1"/>
  <c r="G180" i="1"/>
  <c r="F180" i="1"/>
  <c r="E180" i="1"/>
  <c r="G179" i="1"/>
  <c r="F179" i="1"/>
  <c r="E179" i="1"/>
  <c r="G178" i="1"/>
  <c r="F178" i="1"/>
  <c r="E178" i="1"/>
  <c r="G177" i="1"/>
  <c r="F177" i="1"/>
  <c r="E177" i="1"/>
  <c r="G176" i="1"/>
  <c r="F176" i="1"/>
  <c r="E176" i="1"/>
  <c r="G175" i="1"/>
  <c r="F175" i="1"/>
  <c r="E175" i="1"/>
  <c r="G174" i="1"/>
  <c r="F174" i="1"/>
  <c r="E174" i="1"/>
  <c r="G173" i="1"/>
  <c r="F173" i="1"/>
  <c r="E173" i="1"/>
  <c r="G172" i="1"/>
  <c r="F172" i="1"/>
  <c r="E172" i="1"/>
  <c r="G171" i="1"/>
  <c r="F171" i="1"/>
  <c r="E171" i="1"/>
  <c r="G170" i="1"/>
  <c r="F170" i="1"/>
  <c r="E170" i="1"/>
  <c r="G169" i="1"/>
  <c r="F169" i="1"/>
  <c r="E169" i="1"/>
  <c r="G168" i="1"/>
  <c r="F168" i="1"/>
  <c r="E168" i="1"/>
  <c r="G167" i="1"/>
  <c r="F167" i="1"/>
  <c r="E167" i="1"/>
  <c r="G166" i="1"/>
  <c r="F166" i="1"/>
  <c r="E166" i="1"/>
  <c r="G165" i="1"/>
  <c r="F165" i="1"/>
  <c r="E165" i="1"/>
  <c r="G164" i="1"/>
  <c r="F164" i="1"/>
  <c r="E164" i="1"/>
  <c r="G163" i="1"/>
  <c r="F163" i="1"/>
  <c r="E163" i="1"/>
  <c r="G162" i="1"/>
  <c r="F162" i="1"/>
  <c r="E162" i="1"/>
  <c r="G161" i="1"/>
  <c r="F161" i="1"/>
  <c r="E161" i="1"/>
  <c r="G160" i="1"/>
  <c r="F160" i="1"/>
  <c r="E160" i="1"/>
  <c r="G159" i="1"/>
  <c r="F159" i="1"/>
  <c r="E159" i="1"/>
  <c r="G158" i="1"/>
  <c r="F158" i="1"/>
  <c r="E158" i="1"/>
  <c r="G157" i="1"/>
  <c r="F157" i="1"/>
  <c r="E157" i="1"/>
  <c r="G156" i="1"/>
  <c r="F156" i="1"/>
  <c r="E156" i="1"/>
  <c r="G155" i="1"/>
  <c r="F155" i="1"/>
  <c r="E155" i="1"/>
  <c r="G154" i="1"/>
  <c r="F154" i="1"/>
  <c r="E154" i="1"/>
  <c r="G153" i="1"/>
  <c r="F153" i="1"/>
  <c r="E153" i="1"/>
  <c r="G152" i="1"/>
  <c r="F152" i="1"/>
  <c r="E152" i="1"/>
  <c r="G151" i="1"/>
  <c r="F151" i="1"/>
  <c r="E151" i="1"/>
  <c r="G150" i="1"/>
  <c r="F150" i="1"/>
  <c r="E150" i="1"/>
  <c r="G149" i="1"/>
  <c r="F149" i="1"/>
  <c r="E149" i="1"/>
  <c r="G148" i="1"/>
  <c r="F148" i="1"/>
  <c r="E148" i="1"/>
  <c r="G147" i="1"/>
  <c r="F147" i="1"/>
  <c r="E147" i="1"/>
  <c r="G146" i="1"/>
  <c r="F146" i="1"/>
  <c r="E146" i="1"/>
  <c r="G145" i="1"/>
  <c r="F145" i="1"/>
  <c r="E145" i="1"/>
  <c r="G144" i="1"/>
  <c r="F144" i="1"/>
  <c r="E144" i="1"/>
  <c r="G143" i="1"/>
  <c r="F143" i="1"/>
  <c r="E143" i="1"/>
  <c r="G142" i="1"/>
  <c r="F142" i="1"/>
  <c r="E142" i="1"/>
  <c r="G141" i="1"/>
  <c r="F141" i="1"/>
  <c r="E141" i="1"/>
  <c r="G140" i="1"/>
  <c r="F140" i="1"/>
  <c r="E140" i="1"/>
  <c r="G139" i="1"/>
  <c r="F139" i="1"/>
  <c r="E139" i="1"/>
  <c r="G138" i="1"/>
  <c r="F138" i="1"/>
  <c r="E138" i="1"/>
  <c r="G137" i="1"/>
  <c r="F137" i="1"/>
  <c r="E137" i="1"/>
  <c r="G136" i="1"/>
  <c r="F136" i="1"/>
  <c r="E136" i="1"/>
  <c r="G135" i="1"/>
  <c r="F135" i="1"/>
  <c r="E135" i="1"/>
  <c r="G134" i="1"/>
  <c r="F134" i="1"/>
  <c r="E134" i="1"/>
  <c r="G133" i="1"/>
  <c r="F133" i="1"/>
  <c r="E133" i="1"/>
  <c r="G132" i="1"/>
  <c r="F132" i="1"/>
  <c r="E132" i="1"/>
  <c r="G131" i="1"/>
  <c r="F131" i="1"/>
  <c r="E131" i="1"/>
  <c r="G130" i="1"/>
  <c r="F130" i="1"/>
  <c r="E130" i="1"/>
  <c r="G129" i="1"/>
  <c r="F129" i="1"/>
  <c r="E129" i="1"/>
  <c r="G128" i="1"/>
  <c r="F128" i="1"/>
  <c r="E128" i="1"/>
  <c r="G127" i="1"/>
  <c r="F127" i="1"/>
  <c r="E127" i="1"/>
  <c r="G126" i="1"/>
  <c r="F126" i="1"/>
  <c r="E126" i="1"/>
  <c r="G125" i="1"/>
  <c r="F125" i="1"/>
  <c r="E125" i="1"/>
  <c r="G124" i="1"/>
  <c r="F124" i="1"/>
  <c r="E124" i="1"/>
  <c r="G123" i="1"/>
  <c r="F123" i="1"/>
  <c r="E123" i="1"/>
  <c r="G122" i="1"/>
  <c r="F122" i="1"/>
  <c r="E122" i="1"/>
  <c r="G121" i="1"/>
  <c r="F121" i="1"/>
  <c r="E121" i="1"/>
  <c r="G120" i="1"/>
  <c r="F120" i="1"/>
  <c r="E120" i="1"/>
  <c r="G119" i="1"/>
  <c r="F119" i="1"/>
  <c r="E119" i="1"/>
  <c r="G118" i="1"/>
  <c r="F118" i="1"/>
  <c r="E118" i="1"/>
  <c r="G117" i="1"/>
  <c r="F117" i="1"/>
  <c r="E117" i="1"/>
  <c r="G116" i="1"/>
  <c r="F116" i="1"/>
  <c r="E116" i="1"/>
  <c r="G115" i="1"/>
  <c r="F115" i="1"/>
  <c r="E115" i="1"/>
  <c r="G114" i="1"/>
  <c r="F114" i="1"/>
  <c r="E114" i="1"/>
  <c r="G113" i="1"/>
  <c r="F113" i="1"/>
  <c r="E113" i="1"/>
  <c r="G112" i="1"/>
  <c r="F112" i="1"/>
  <c r="E112" i="1"/>
  <c r="G111" i="1"/>
  <c r="F111" i="1"/>
  <c r="E111" i="1"/>
  <c r="G110" i="1"/>
  <c r="F110" i="1"/>
  <c r="E110" i="1"/>
  <c r="G109" i="1"/>
  <c r="F109" i="1"/>
  <c r="E109" i="1"/>
  <c r="G108" i="1"/>
  <c r="F108" i="1"/>
  <c r="E108" i="1"/>
  <c r="G107" i="1"/>
  <c r="F107" i="1"/>
  <c r="E107" i="1"/>
  <c r="G106" i="1"/>
  <c r="F106" i="1"/>
  <c r="E106" i="1"/>
  <c r="G105" i="1"/>
  <c r="F105" i="1"/>
  <c r="E105" i="1"/>
  <c r="G104" i="1"/>
  <c r="F104" i="1"/>
  <c r="E104" i="1"/>
  <c r="G103" i="1"/>
  <c r="F103" i="1"/>
  <c r="E103" i="1"/>
  <c r="G102" i="1"/>
  <c r="F102" i="1"/>
  <c r="E102" i="1"/>
  <c r="G101" i="1"/>
  <c r="F101" i="1"/>
  <c r="E101" i="1"/>
  <c r="G100" i="1"/>
  <c r="F100" i="1"/>
  <c r="E100" i="1"/>
  <c r="G99" i="1"/>
  <c r="F99" i="1"/>
  <c r="E99" i="1"/>
  <c r="G98" i="1"/>
  <c r="F98" i="1"/>
  <c r="E98" i="1"/>
  <c r="G97" i="1"/>
  <c r="F97" i="1"/>
  <c r="E97" i="1"/>
  <c r="G96" i="1"/>
  <c r="F96" i="1"/>
  <c r="E96" i="1"/>
  <c r="G95" i="1"/>
  <c r="F95" i="1"/>
  <c r="E95" i="1"/>
  <c r="G94" i="1"/>
  <c r="F94" i="1"/>
  <c r="E94" i="1"/>
  <c r="G93" i="1"/>
  <c r="F93" i="1"/>
  <c r="E93" i="1"/>
  <c r="G92" i="1"/>
  <c r="F92" i="1"/>
  <c r="E92" i="1"/>
  <c r="G91" i="1"/>
  <c r="F91" i="1"/>
  <c r="E91" i="1"/>
  <c r="G90" i="1"/>
  <c r="F90" i="1"/>
  <c r="E90" i="1"/>
  <c r="G89" i="1"/>
  <c r="F89" i="1"/>
  <c r="E89" i="1"/>
  <c r="G88" i="1"/>
  <c r="F88" i="1"/>
  <c r="E88" i="1"/>
  <c r="G87" i="1"/>
  <c r="F87" i="1"/>
  <c r="E87" i="1"/>
  <c r="G86" i="1"/>
  <c r="F86" i="1"/>
  <c r="E86" i="1"/>
  <c r="G85" i="1"/>
  <c r="F85" i="1"/>
  <c r="E85" i="1"/>
  <c r="G84" i="1"/>
  <c r="F84" i="1"/>
  <c r="E84" i="1"/>
  <c r="G83" i="1"/>
  <c r="F83" i="1"/>
  <c r="E83" i="1"/>
  <c r="G82" i="1"/>
  <c r="F82" i="1"/>
  <c r="E82" i="1"/>
  <c r="G81" i="1"/>
  <c r="F81" i="1"/>
  <c r="E81" i="1"/>
  <c r="G80" i="1"/>
  <c r="F80" i="1"/>
  <c r="E80" i="1"/>
  <c r="G79" i="1"/>
  <c r="F79" i="1"/>
  <c r="E79" i="1"/>
  <c r="G78" i="1"/>
  <c r="F78" i="1"/>
  <c r="E78" i="1"/>
  <c r="G77" i="1"/>
  <c r="F77" i="1"/>
  <c r="E77" i="1"/>
  <c r="G76" i="1"/>
  <c r="F76" i="1"/>
  <c r="E76" i="1"/>
  <c r="G75" i="1"/>
  <c r="F75" i="1"/>
  <c r="E75" i="1"/>
  <c r="G74" i="1"/>
  <c r="F74" i="1"/>
  <c r="E74" i="1"/>
  <c r="G73" i="1"/>
  <c r="F73" i="1"/>
  <c r="E73" i="1"/>
  <c r="G72" i="1"/>
  <c r="F72" i="1"/>
  <c r="E72" i="1"/>
  <c r="G71" i="1"/>
  <c r="F71" i="1"/>
  <c r="E71" i="1"/>
  <c r="G70" i="1"/>
  <c r="F70" i="1"/>
  <c r="E70" i="1"/>
  <c r="G69" i="1"/>
  <c r="F69" i="1"/>
  <c r="E69" i="1"/>
  <c r="G68" i="1"/>
  <c r="F68" i="1"/>
  <c r="E68" i="1"/>
  <c r="G67" i="1"/>
  <c r="F67" i="1"/>
  <c r="E67" i="1"/>
  <c r="G66" i="1"/>
  <c r="F66" i="1"/>
  <c r="E66" i="1"/>
  <c r="G65" i="1"/>
  <c r="F65" i="1"/>
  <c r="E65" i="1"/>
  <c r="G64" i="1"/>
  <c r="F64" i="1"/>
  <c r="E64" i="1"/>
  <c r="G63" i="1"/>
  <c r="F63" i="1"/>
  <c r="E63" i="1"/>
  <c r="G62" i="1"/>
  <c r="F62" i="1"/>
  <c r="E62" i="1"/>
  <c r="G61" i="1"/>
  <c r="F61" i="1"/>
  <c r="E61" i="1"/>
  <c r="G60" i="1"/>
  <c r="F60" i="1"/>
  <c r="E60" i="1"/>
  <c r="G59" i="1"/>
  <c r="F59" i="1"/>
  <c r="E59" i="1"/>
  <c r="G58" i="1"/>
  <c r="F58" i="1"/>
  <c r="E58" i="1"/>
  <c r="G57" i="1"/>
  <c r="F57" i="1"/>
  <c r="E57" i="1"/>
  <c r="G56" i="1"/>
  <c r="F56" i="1"/>
  <c r="E56" i="1"/>
  <c r="G55" i="1"/>
  <c r="F55" i="1"/>
  <c r="E55" i="1"/>
  <c r="G54" i="1"/>
  <c r="F54" i="1"/>
  <c r="E54" i="1"/>
  <c r="G53" i="1"/>
  <c r="F53" i="1"/>
  <c r="E53" i="1"/>
  <c r="G52" i="1"/>
  <c r="F52" i="1"/>
  <c r="E52" i="1"/>
  <c r="G51" i="1"/>
  <c r="F51" i="1"/>
  <c r="E51" i="1"/>
  <c r="G50" i="1"/>
  <c r="F50" i="1"/>
  <c r="E50" i="1"/>
  <c r="G49" i="1"/>
  <c r="F49" i="1"/>
  <c r="E49" i="1"/>
  <c r="G48" i="1"/>
  <c r="F48" i="1"/>
  <c r="E48" i="1"/>
  <c r="G47" i="1"/>
  <c r="F47" i="1"/>
  <c r="E47" i="1"/>
  <c r="G46" i="1"/>
  <c r="F46" i="1"/>
  <c r="E46" i="1"/>
  <c r="G45" i="1"/>
  <c r="F45" i="1"/>
  <c r="E45" i="1"/>
  <c r="G44" i="1"/>
  <c r="F44" i="1"/>
  <c r="E44" i="1"/>
  <c r="G43" i="1"/>
  <c r="F43" i="1"/>
  <c r="E43" i="1"/>
  <c r="G42" i="1"/>
  <c r="F42" i="1"/>
  <c r="E42" i="1"/>
  <c r="G41" i="1"/>
  <c r="F41" i="1"/>
  <c r="E41" i="1"/>
  <c r="G40" i="1"/>
  <c r="F40" i="1"/>
  <c r="E40" i="1"/>
  <c r="G39" i="1"/>
  <c r="F39" i="1"/>
  <c r="E39" i="1"/>
  <c r="G38" i="1"/>
  <c r="F38" i="1"/>
  <c r="E38" i="1"/>
  <c r="G37" i="1"/>
  <c r="F37" i="1"/>
  <c r="E37" i="1"/>
  <c r="G36" i="1"/>
  <c r="F36" i="1"/>
  <c r="E36" i="1"/>
  <c r="G35" i="1"/>
  <c r="F35" i="1"/>
  <c r="E35" i="1"/>
  <c r="G34" i="1"/>
  <c r="F34" i="1"/>
  <c r="E34" i="1"/>
  <c r="G33" i="1"/>
  <c r="F33" i="1"/>
  <c r="E33" i="1"/>
  <c r="G32" i="1"/>
  <c r="F32" i="1"/>
  <c r="E32" i="1"/>
  <c r="G31" i="1"/>
  <c r="F31" i="1"/>
  <c r="E31" i="1"/>
  <c r="G30" i="1"/>
  <c r="F30" i="1"/>
  <c r="E30" i="1"/>
  <c r="G29" i="1"/>
  <c r="F29" i="1"/>
  <c r="E29" i="1"/>
  <c r="G28" i="1"/>
  <c r="F28" i="1"/>
  <c r="E28" i="1"/>
  <c r="G27" i="1"/>
  <c r="F27" i="1"/>
  <c r="E27" i="1"/>
  <c r="G26" i="1"/>
  <c r="F26" i="1"/>
  <c r="E26" i="1"/>
  <c r="G25" i="1"/>
  <c r="F25" i="1"/>
  <c r="E25" i="1"/>
  <c r="G24" i="1"/>
  <c r="F24" i="1"/>
  <c r="E24" i="1"/>
  <c r="G23" i="1"/>
  <c r="F23" i="1"/>
  <c r="E23" i="1"/>
  <c r="G22" i="1"/>
  <c r="F22" i="1"/>
  <c r="E22" i="1"/>
  <c r="G21" i="1"/>
  <c r="F21" i="1"/>
  <c r="E21" i="1"/>
  <c r="G20" i="1"/>
  <c r="F20" i="1"/>
  <c r="E20" i="1"/>
  <c r="G19" i="1"/>
  <c r="F19" i="1"/>
  <c r="E19" i="1"/>
  <c r="G18" i="1"/>
  <c r="F18" i="1"/>
  <c r="E18" i="1"/>
  <c r="G17" i="1"/>
  <c r="F17" i="1"/>
  <c r="E17" i="1"/>
  <c r="G16" i="1"/>
  <c r="F16" i="1"/>
  <c r="E16" i="1"/>
  <c r="G15" i="1"/>
  <c r="F15" i="1"/>
  <c r="E15" i="1"/>
  <c r="G14" i="1"/>
  <c r="F14" i="1"/>
  <c r="E14" i="1"/>
  <c r="G13" i="1"/>
  <c r="F13" i="1"/>
  <c r="E13" i="1"/>
  <c r="G12" i="1"/>
  <c r="F12" i="1"/>
  <c r="E12" i="1"/>
  <c r="G11" i="1"/>
  <c r="F11" i="1"/>
  <c r="E11" i="1"/>
  <c r="G10" i="1"/>
  <c r="F10" i="1"/>
  <c r="E10" i="1"/>
  <c r="G9" i="1"/>
  <c r="F9" i="1"/>
  <c r="E9" i="1"/>
  <c r="G8" i="1"/>
  <c r="F8" i="1"/>
  <c r="E8" i="1"/>
  <c r="G7" i="1"/>
  <c r="F7" i="1"/>
  <c r="E7" i="1"/>
  <c r="F6" i="1"/>
  <c r="E6" i="1"/>
  <c r="G6" i="1" s="1"/>
  <c r="F5" i="1"/>
  <c r="E5" i="1"/>
  <c r="G5" i="1" s="1"/>
  <c r="D30" i="3" l="1"/>
  <c r="E30" i="3" s="1"/>
  <c r="D29" i="3"/>
  <c r="E29" i="3" s="1"/>
  <c r="D26" i="3"/>
  <c r="E26" i="3" s="1"/>
  <c r="D22" i="3"/>
  <c r="E22" i="3" s="1"/>
  <c r="D20" i="3"/>
  <c r="E20" i="3" s="1"/>
  <c r="D28" i="3"/>
  <c r="E28" i="3" s="1"/>
  <c r="D24" i="3"/>
  <c r="E24" i="3" s="1"/>
  <c r="D27" i="3"/>
  <c r="E27" i="3" s="1"/>
  <c r="D25" i="3"/>
  <c r="E25" i="3" s="1"/>
  <c r="D23" i="3"/>
  <c r="E23" i="3" s="1"/>
  <c r="D21" i="3"/>
  <c r="E21" i="3" s="1"/>
  <c r="D18" i="3"/>
  <c r="E18" i="3" s="1"/>
  <c r="D5" i="4"/>
  <c r="E5" i="4" s="1"/>
  <c r="D19" i="3"/>
  <c r="E19" i="3" s="1"/>
  <c r="D4" i="4"/>
  <c r="E4" i="4" s="1"/>
  <c r="D13" i="3"/>
  <c r="E13" i="3" s="1"/>
  <c r="D8" i="4"/>
  <c r="E8" i="4" s="1"/>
  <c r="D14" i="3"/>
  <c r="E14" i="3" s="1"/>
  <c r="D9" i="4"/>
  <c r="E9" i="4" s="1"/>
  <c r="D15" i="3"/>
  <c r="E15" i="3" s="1"/>
  <c r="D10" i="4"/>
  <c r="E10" i="4" s="1"/>
  <c r="D16" i="3"/>
  <c r="E16" i="3" s="1"/>
  <c r="D17" i="3"/>
  <c r="E17" i="3" s="1"/>
  <c r="D12" i="4"/>
  <c r="E12" i="4" s="1"/>
  <c r="D6" i="4"/>
  <c r="E6" i="4" s="1"/>
  <c r="D12" i="3"/>
  <c r="E12" i="3" s="1"/>
  <c r="D7" i="4"/>
  <c r="E7" i="4" s="1"/>
  <c r="B5" i="3"/>
  <c r="D11" i="4"/>
  <c r="E11" i="4" s="1"/>
  <c r="I5" i="2"/>
  <c r="B7" i="3" s="1"/>
</calcChain>
</file>

<file path=xl/sharedStrings.xml><?xml version="1.0" encoding="utf-8"?>
<sst xmlns="http://schemas.openxmlformats.org/spreadsheetml/2006/main" count="184" uniqueCount="95">
  <si>
    <t>AJRO HOUSE — INVENTARIO DE PERFUMES</t>
  </si>
  <si>
    <t>Controla cuántos decants de 5 ml y 10 ml tienes disponibles. Registra una fila por perfume.</t>
  </si>
  <si>
    <t>Fecha de ingreso</t>
  </si>
  <si>
    <t>Nombre del perfume</t>
  </si>
  <si>
    <t>Decants 5 ml</t>
  </si>
  <si>
    <t>Decants 10 ml</t>
  </si>
  <si>
    <t>Total decants</t>
  </si>
  <si>
    <t>Total ml disponibles</t>
  </si>
  <si>
    <t>Estado</t>
  </si>
  <si>
    <t>Observaciones</t>
  </si>
  <si>
    <t>VERSACE EROS FLAME</t>
  </si>
  <si>
    <t>ONE MILLION</t>
  </si>
  <si>
    <t>AJRO HOUSE — REGISTRO DE VENTAS</t>
  </si>
  <si>
    <t>Registra cada venta. El crédito pendiente y el estado se calculan automáticamente.</t>
  </si>
  <si>
    <t>Fecha</t>
  </si>
  <si>
    <t>Nombre del cliente</t>
  </si>
  <si>
    <t>Producto vendido</t>
  </si>
  <si>
    <t>Cantidad</t>
  </si>
  <si>
    <t>Precio total</t>
  </si>
  <si>
    <t>Pagado</t>
  </si>
  <si>
    <t>Crédito pendiente</t>
  </si>
  <si>
    <t>Wendy Murcia</t>
  </si>
  <si>
    <t>Bote sellado</t>
  </si>
  <si>
    <t>HUGO DARK BLUE</t>
  </si>
  <si>
    <t xml:space="preserve">El cliente tiene opcion de 3 pagos de 500 lps c/u </t>
  </si>
  <si>
    <t>Evelyn Oliva</t>
  </si>
  <si>
    <t>Decant 5 ml</t>
  </si>
  <si>
    <t>ONE MILLION, COLD WATER WOMEN</t>
  </si>
  <si>
    <t>Pagado al contado</t>
  </si>
  <si>
    <t>David Martinez</t>
  </si>
  <si>
    <t>Mateo Amaya</t>
  </si>
  <si>
    <t>Oscar GYM</t>
  </si>
  <si>
    <t>Raul Matamoros</t>
  </si>
  <si>
    <t>DIOR SAUVAGE PARFUM</t>
  </si>
  <si>
    <t>Mr Mario</t>
  </si>
  <si>
    <t>SALVO INTENSE</t>
  </si>
  <si>
    <t>Melvin Salgado</t>
  </si>
  <si>
    <t>Decant 10 ml</t>
  </si>
  <si>
    <t>DIOR SAUVAGE EDP</t>
  </si>
  <si>
    <t>Andrea Altamirano</t>
  </si>
  <si>
    <t>Irma Gamez</t>
  </si>
  <si>
    <t>COLD WATER WOMAN</t>
  </si>
  <si>
    <t>Muchacho Aguazul</t>
  </si>
  <si>
    <t>Sarahi</t>
  </si>
  <si>
    <t xml:space="preserve"> ONE million parfum</t>
  </si>
  <si>
    <t>EN CONSIGNACION</t>
  </si>
  <si>
    <t xml:space="preserve"> invictus victory </t>
  </si>
  <si>
    <t xml:space="preserve"> David off cold Water women </t>
  </si>
  <si>
    <t xml:space="preserve">blue seduction Antonio banderas </t>
  </si>
  <si>
    <t xml:space="preserve"> náutica Classic Edt</t>
  </si>
  <si>
    <t>salvo intense</t>
  </si>
  <si>
    <t xml:space="preserve"> odyssey mandarín sky </t>
  </si>
  <si>
    <t>POLO RED PARFUM</t>
  </si>
  <si>
    <t>AJRO HOUSE — DASHBOARD DE VENTAS</t>
  </si>
  <si>
    <t>Total facturado</t>
  </si>
  <si>
    <t>Nota</t>
  </si>
  <si>
    <t>La ganancia real requiere registrar el costo de cada producto.</t>
  </si>
  <si>
    <t>Total cobrado</t>
  </si>
  <si>
    <t>Total pendiente de cobro</t>
  </si>
  <si>
    <t>Ventas registradas</t>
  </si>
  <si>
    <t>Ventas a crédito</t>
  </si>
  <si>
    <t>RESUMEN POR CLIENTE</t>
  </si>
  <si>
    <t>Cliente</t>
  </si>
  <si>
    <t>Facturado</t>
  </si>
  <si>
    <t>Pendiente</t>
  </si>
  <si>
    <t>Andrea altamirano</t>
  </si>
  <si>
    <t>PERFUME'S POINT — CONTROL DE CRÉDITOS</t>
  </si>
  <si>
    <t>Total vendido</t>
  </si>
  <si>
    <t>Total pagado</t>
  </si>
  <si>
    <t>Saldo pendiente</t>
  </si>
  <si>
    <t>PERFUME'S POINT — GUÍA RÁPIDA</t>
  </si>
  <si>
    <t>Paso</t>
  </si>
  <si>
    <t>Instrucción</t>
  </si>
  <si>
    <t>1</t>
  </si>
  <si>
    <t>Ve a 'Registro de Ventas'.</t>
  </si>
  <si>
    <t>2</t>
  </si>
  <si>
    <t>Escribe el nombre del cliente.</t>
  </si>
  <si>
    <t>3</t>
  </si>
  <si>
    <t>Selecciona el producto: Decant 5 ml, Decant 10 ml o Bote sellado.</t>
  </si>
  <si>
    <t>4</t>
  </si>
  <si>
    <t>Escribe el nombre del perfume y la cantidad.</t>
  </si>
  <si>
    <t>5</t>
  </si>
  <si>
    <t>Coloca el precio total de la venta y cuánto pagó el cliente.</t>
  </si>
  <si>
    <t>Inventario</t>
  </si>
  <si>
    <t>En 'Registro de Inventario' agrega la fecha, perfume y cuántos decants tienes de 5 ml y 10 ml. El total, mililitros y estado se calculan automáticamente.</t>
  </si>
  <si>
    <t>Actualización</t>
  </si>
  <si>
    <t>Cuando vendas o repongas decants, modifica las cantidades disponibles en la fila del perfume.</t>
  </si>
  <si>
    <t>Importante</t>
  </si>
  <si>
    <t>No necesitas escribir el total de decants, total de ml ni el estado: la hoja los calcula automáticamente.</t>
  </si>
  <si>
    <t>OLYMPEA WOMEN</t>
  </si>
  <si>
    <t xml:space="preserve">El cliente tiene opcion de 4 pagos de 690 lps c/u </t>
  </si>
  <si>
    <t>Keivy</t>
  </si>
  <si>
    <t>Monica Oliva</t>
  </si>
  <si>
    <t>CAROLINA HERRERA GOOD GIRL BLACK</t>
  </si>
  <si>
    <t>El cliente tiene opcion de 3 pagos 1266 lps c/u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</si>
</sst>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dd/mm/yyyy"/>
    <numFmt numFmtId="165" formatCode="#,##0.00\ &quot;L&quot;"/>
  </numFmts>
  <fonts count="10" x14ac:knownFonts="1">
    <font>
      <sz val="11"/>
      <color theme="1"/>
      <name val="Calibri"/>
      <family val="2"/>
      <scheme val="minor"/>
    </font>
    <font>
      <b/>
      <sz val="18"/>
      <color rgb="FFFFFFFF"/>
      <name val="Calibri"/>
    </font>
    <font>
      <i/>
      <sz val="11"/>
      <color rgb="FF666666"/>
      <name val="Calibri"/>
    </font>
    <font>
      <b/>
      <sz val="11"/>
      <color rgb="FFFFFFFF"/>
      <name val="Calibri"/>
    </font>
    <font>
      <b/>
      <sz val="16"/>
      <color rgb="FFFFFFFF"/>
      <name val="Calibri"/>
    </font>
    <font>
      <b/>
      <sz val="11"/>
      <color rgb="FFFFFFFF"/>
      <name val="Calibri"/>
    </font>
    <font>
      <b/>
      <sz val="11"/>
      <name val="Calibri"/>
    </font>
    <font>
      <b/>
      <sz val="18"/>
      <color rgb="FFFFFFFF"/>
      <name val="Calibri"/>
    </font>
    <font>
      <i/>
      <sz val="10"/>
      <color rgb="FF4B5563"/>
      <name val="Calibri"/>
    </font>
    <font>
      <b/>
      <sz val="11"/>
      <color rgb="FFFFFFFF"/>
      <name val="Calibri"/>
    </font>
  </fonts>
  <fills count="9">
    <fill>
      <patternFill patternType="none"/>
    </fill>
    <fill>
      <patternFill patternType="gray125"/>
    </fill>
    <fill>
      <patternFill patternType="solid">
        <fgColor rgb="FF17365D"/>
      </patternFill>
    </fill>
    <fill>
      <patternFill patternType="solid">
        <fgColor rgb="FFD9EAF7"/>
      </patternFill>
    </fill>
    <fill>
      <patternFill patternType="solid">
        <fgColor rgb="FFF4F7FA"/>
      </patternFill>
    </fill>
    <fill>
      <patternFill patternType="solid">
        <fgColor rgb="FF1F2937"/>
      </patternFill>
    </fill>
    <fill>
      <patternFill patternType="solid">
        <fgColor rgb="FFC8A951"/>
      </patternFill>
    </fill>
    <fill>
      <patternFill patternType="solid">
        <fgColor rgb="FF1F2937"/>
      </patternFill>
    </fill>
    <fill>
      <patternFill patternType="solid">
        <fgColor rgb="FFB91C1C"/>
      </patternFill>
    </fill>
  </fills>
  <borders count="6">
    <border>
      <left/>
      <right/>
      <top/>
      <bottom/>
      <diagonal/>
    </border>
    <border>
      <left/>
      <right/>
      <top/>
      <bottom style="thin">
        <color rgb="FFD9E1F2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rgb="FFD1D5DB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</borders>
  <cellStyleXfs count="1">
    <xf numFmtId="0" fontId="0" fillId="0" borderId="0"/>
  </cellStyleXfs>
  <cellXfs count="26">
    <xf numFmtId="0" fontId="0" fillId="0" borderId="0" xfId="0"/>
    <xf numFmtId="0" fontId="3" fillId="2" borderId="0" xfId="0" applyFont="1" applyFill="1"/>
    <xf numFmtId="4" fontId="0" fillId="0" borderId="0" xfId="0" applyNumberFormat="1"/>
    <xf numFmtId="0" fontId="3" fillId="2" borderId="2" xfId="0" applyFont="1" applyFill="1" applyBorder="1" applyAlignment="1">
      <alignment horizontal="center" vertical="center" wrapText="1"/>
    </xf>
    <xf numFmtId="164" fontId="0" fillId="0" borderId="2" xfId="0" applyNumberFormat="1" applyBorder="1" applyAlignment="1">
      <alignment vertical="center"/>
    </xf>
    <xf numFmtId="0" fontId="0" fillId="0" borderId="2" xfId="0" applyBorder="1" applyAlignment="1">
      <alignment vertical="center"/>
    </xf>
    <xf numFmtId="4" fontId="0" fillId="0" borderId="2" xfId="0" applyNumberFormat="1" applyBorder="1" applyAlignment="1">
      <alignment vertical="center"/>
    </xf>
    <xf numFmtId="0" fontId="0" fillId="0" borderId="2" xfId="0" applyBorder="1" applyAlignment="1">
      <alignment vertical="center" wrapText="1"/>
    </xf>
    <xf numFmtId="0" fontId="6" fillId="3" borderId="1" xfId="0" applyFont="1" applyFill="1" applyBorder="1"/>
    <xf numFmtId="165" fontId="6" fillId="4" borderId="1" xfId="0" applyNumberFormat="1" applyFont="1" applyFill="1" applyBorder="1"/>
    <xf numFmtId="0" fontId="5" fillId="6" borderId="3" xfId="0" applyFont="1" applyFill="1" applyBorder="1" applyAlignment="1">
      <alignment horizontal="center"/>
    </xf>
    <xf numFmtId="165" fontId="0" fillId="0" borderId="3" xfId="0" applyNumberFormat="1" applyBorder="1"/>
    <xf numFmtId="0" fontId="5" fillId="6" borderId="0" xfId="0" applyFont="1" applyFill="1" applyAlignment="1">
      <alignment horizontal="center"/>
    </xf>
    <xf numFmtId="165" fontId="0" fillId="0" borderId="0" xfId="0" applyNumberFormat="1"/>
    <xf numFmtId="0" fontId="0" fillId="0" borderId="4" xfId="0" applyBorder="1" applyAlignment="1">
      <alignment vertical="center"/>
    </xf>
    <xf numFmtId="0" fontId="9" fillId="8" borderId="5" xfId="0" applyFont="1" applyFill="1" applyBorder="1" applyAlignment="1">
      <alignment horizontal="center" vertical="center" wrapText="1"/>
    </xf>
    <xf numFmtId="164" fontId="0" fillId="0" borderId="5" xfId="0" applyNumberFormat="1" applyBorder="1" applyAlignment="1">
      <alignment vertical="center" wrapText="1"/>
    </xf>
    <xf numFmtId="0" fontId="0" fillId="0" borderId="5" xfId="0" applyBorder="1" applyAlignment="1">
      <alignment vertical="center" wrapText="1"/>
    </xf>
    <xf numFmtId="1" fontId="0" fillId="0" borderId="5" xfId="0" applyNumberFormat="1" applyBorder="1" applyAlignment="1">
      <alignment vertical="center" wrapText="1"/>
    </xf>
    <xf numFmtId="0" fontId="7" fillId="7" borderId="0" xfId="0" applyFont="1" applyFill="1" applyAlignment="1">
      <alignment horizontal="center" vertical="center"/>
    </xf>
    <xf numFmtId="0" fontId="0" fillId="0" borderId="0" xfId="0"/>
    <xf numFmtId="0" fontId="8" fillId="0" borderId="0" xfId="0" applyFont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0" fontId="2" fillId="0" borderId="0" xfId="0" applyFont="1" applyAlignment="1">
      <alignment horizontal="center"/>
    </xf>
    <xf numFmtId="0" fontId="4" fillId="5" borderId="0" xfId="0" applyFont="1" applyFill="1" applyAlignment="1">
      <alignment horizontal="center"/>
    </xf>
    <xf numFmtId="0" fontId="1" fillId="2" borderId="0" xfId="0" applyFont="1" applyFill="1"/>
  </cellXfs>
  <cellStyles count="1">
    <cellStyle name="Normal" xfId="0" builtinId="0"/>
  </cellStyles>
  <dxfs count="12">
    <dxf>
      <fill>
        <patternFill patternType="solid">
          <fgColor rgb="FFE2F0D9"/>
        </patternFill>
      </fill>
    </dxf>
    <dxf>
      <fill>
        <patternFill patternType="solid">
          <fgColor rgb="FFFCE4D6"/>
        </patternFill>
      </fill>
    </dxf>
    <dxf>
      <fill>
        <patternFill patternType="solid">
          <fgColor rgb="FFFFF2CC"/>
        </patternFill>
      </fill>
    </dxf>
    <dxf>
      <fill>
        <patternFill patternType="solid">
          <fgColor rgb="FFE2F0D9"/>
        </patternFill>
      </fill>
    </dxf>
    <dxf>
      <fill>
        <patternFill patternType="solid">
          <fgColor rgb="FFFCE4D6"/>
        </patternFill>
      </fill>
    </dxf>
    <dxf>
      <fill>
        <patternFill patternType="solid">
          <fgColor rgb="FFFFF2CC"/>
        </patternFill>
      </fill>
    </dxf>
    <dxf>
      <fill>
        <patternFill patternType="solid">
          <fgColor rgb="FFE2F0D9"/>
        </patternFill>
      </fill>
    </dxf>
    <dxf>
      <fill>
        <patternFill patternType="solid">
          <fgColor rgb="FFFCE4D6"/>
        </patternFill>
      </fill>
    </dxf>
    <dxf>
      <fill>
        <patternFill patternType="solid">
          <fgColor rgb="FFFFF2CC"/>
        </patternFill>
      </fill>
    </dxf>
    <dxf>
      <fill>
        <patternFill patternType="solid">
          <fgColor rgb="FFFEE2E2"/>
        </patternFill>
      </fill>
    </dxf>
    <dxf>
      <fill>
        <patternFill patternType="solid">
          <fgColor rgb="FFFEF3C7"/>
        </patternFill>
      </fill>
    </dxf>
    <dxf>
      <fill>
        <patternFill patternType="solid">
          <fgColor rgb="FFDCFCE7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spc="100" baseline="0">
                <a:solidFill>
                  <a:schemeClr val="lt1">
                    <a:lumMod val="95000"/>
                  </a:schemeClr>
                </a:solidFill>
                <a:effectLst>
                  <a:outerShdw blurRad="50800" dist="38100" dir="5400000" algn="t" rotWithShape="0">
                    <a:prstClr val="black">
                      <a:alpha val="40000"/>
                    </a:prstClr>
                  </a:outerShdw>
                </a:effectLst>
                <a:latin typeface="+mn-lt"/>
                <a:ea typeface="+mn-ea"/>
                <a:cs typeface="+mn-cs"/>
              </a:defRPr>
            </a:pPr>
            <a:r>
              <a:rPr lang="en-US"/>
              <a:t>Facturado por cliente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100" baseline="0">
              <a:solidFill>
                <a:schemeClr val="lt1">
                  <a:lumMod val="95000"/>
                </a:schemeClr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bar"/>
        <c:grouping val="clustered"/>
        <c:varyColors val="1"/>
        <c:ser>
          <c:idx val="0"/>
          <c:order val="0"/>
          <c:tx>
            <c:strRef>
              <c:f>Resumen!$B$11</c:f>
              <c:strCache>
                <c:ptCount val="1"/>
                <c:pt idx="0">
                  <c:v>Facturado</c:v>
                </c:pt>
              </c:strCache>
            </c:strRef>
          </c:tx>
          <c:invertIfNegative val="1"/>
          <c:dPt>
            <c:idx val="0"/>
            <c:invertIfNegative val="1"/>
            <c:bubble3D val="0"/>
            <c:spPr>
              <a:gradFill rotWithShape="1">
                <a:gsLst>
                  <a:gs pos="0">
                    <a:schemeClr val="accent1">
                      <a:shade val="51000"/>
                      <a:satMod val="130000"/>
                    </a:schemeClr>
                  </a:gs>
                  <a:gs pos="80000">
                    <a:schemeClr val="accent1">
                      <a:shade val="93000"/>
                      <a:satMod val="130000"/>
                    </a:schemeClr>
                  </a:gs>
                  <a:gs pos="100000">
                    <a:schemeClr val="accent1">
                      <a:shade val="94000"/>
                      <a:satMod val="135000"/>
                    </a:schemeClr>
                  </a:gs>
                </a:gsLst>
                <a:lin ang="16200000" scaled="0"/>
              </a:gradFill>
              <a:ln>
                <a:noFill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  <a:scene3d>
                <a:camera prst="orthographicFront">
                  <a:rot lat="0" lon="0" rev="0"/>
                </a:camera>
                <a:lightRig rig="threePt" dir="t">
                  <a:rot lat="0" lon="0" rev="1200000"/>
                </a:lightRig>
              </a:scene3d>
              <a:sp3d>
                <a:bevelT w="63500" h="25400"/>
              </a:sp3d>
            </c:spPr>
            <c:extLst>
              <c:ext xmlns:c16="http://schemas.microsoft.com/office/drawing/2014/chart" uri="{C3380CC4-5D6E-409C-BE32-E72D297353CC}">
                <c16:uniqueId val="{00000001-69F1-495A-A056-4E5BC19801B8}"/>
              </c:ext>
            </c:extLst>
          </c:dPt>
          <c:dPt>
            <c:idx val="1"/>
            <c:invertIfNegative val="1"/>
            <c:bubble3D val="0"/>
            <c:spPr>
              <a:gradFill rotWithShape="1">
                <a:gsLst>
                  <a:gs pos="0">
                    <a:schemeClr val="accent2">
                      <a:shade val="51000"/>
                      <a:satMod val="130000"/>
                    </a:schemeClr>
                  </a:gs>
                  <a:gs pos="80000">
                    <a:schemeClr val="accent2">
                      <a:shade val="93000"/>
                      <a:satMod val="130000"/>
                    </a:schemeClr>
                  </a:gs>
                  <a:gs pos="100000">
                    <a:schemeClr val="accent2">
                      <a:shade val="94000"/>
                      <a:satMod val="135000"/>
                    </a:schemeClr>
                  </a:gs>
                </a:gsLst>
                <a:lin ang="16200000" scaled="0"/>
              </a:gradFill>
              <a:ln>
                <a:noFill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  <a:scene3d>
                <a:camera prst="orthographicFront">
                  <a:rot lat="0" lon="0" rev="0"/>
                </a:camera>
                <a:lightRig rig="threePt" dir="t">
                  <a:rot lat="0" lon="0" rev="1200000"/>
                </a:lightRig>
              </a:scene3d>
              <a:sp3d>
                <a:bevelT w="63500" h="25400"/>
              </a:sp3d>
            </c:spPr>
            <c:extLst>
              <c:ext xmlns:c16="http://schemas.microsoft.com/office/drawing/2014/chart" uri="{C3380CC4-5D6E-409C-BE32-E72D297353CC}">
                <c16:uniqueId val="{00000003-69F1-495A-A056-4E5BC19801B8}"/>
              </c:ext>
            </c:extLst>
          </c:dPt>
          <c:dPt>
            <c:idx val="2"/>
            <c:invertIfNegative val="1"/>
            <c:bubble3D val="0"/>
            <c:spPr>
              <a:gradFill rotWithShape="1">
                <a:gsLst>
                  <a:gs pos="0">
                    <a:schemeClr val="accent3">
                      <a:shade val="51000"/>
                      <a:satMod val="130000"/>
                    </a:schemeClr>
                  </a:gs>
                  <a:gs pos="80000">
                    <a:schemeClr val="accent3">
                      <a:shade val="93000"/>
                      <a:satMod val="130000"/>
                    </a:schemeClr>
                  </a:gs>
                  <a:gs pos="100000">
                    <a:schemeClr val="accent3">
                      <a:shade val="94000"/>
                      <a:satMod val="135000"/>
                    </a:schemeClr>
                  </a:gs>
                </a:gsLst>
                <a:lin ang="16200000" scaled="0"/>
              </a:gradFill>
              <a:ln>
                <a:noFill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  <a:scene3d>
                <a:camera prst="orthographicFront">
                  <a:rot lat="0" lon="0" rev="0"/>
                </a:camera>
                <a:lightRig rig="threePt" dir="t">
                  <a:rot lat="0" lon="0" rev="1200000"/>
                </a:lightRig>
              </a:scene3d>
              <a:sp3d>
                <a:bevelT w="63500" h="25400"/>
              </a:sp3d>
            </c:spPr>
            <c:extLst>
              <c:ext xmlns:c16="http://schemas.microsoft.com/office/drawing/2014/chart" uri="{C3380CC4-5D6E-409C-BE32-E72D297353CC}">
                <c16:uniqueId val="{00000005-69F1-495A-A056-4E5BC19801B8}"/>
              </c:ext>
            </c:extLst>
          </c:dPt>
          <c:dPt>
            <c:idx val="3"/>
            <c:invertIfNegative val="1"/>
            <c:bubble3D val="0"/>
            <c:spPr>
              <a:gradFill rotWithShape="1">
                <a:gsLst>
                  <a:gs pos="0">
                    <a:schemeClr val="accent4">
                      <a:shade val="51000"/>
                      <a:satMod val="130000"/>
                    </a:schemeClr>
                  </a:gs>
                  <a:gs pos="80000">
                    <a:schemeClr val="accent4">
                      <a:shade val="93000"/>
                      <a:satMod val="130000"/>
                    </a:schemeClr>
                  </a:gs>
                  <a:gs pos="100000">
                    <a:schemeClr val="accent4">
                      <a:shade val="94000"/>
                      <a:satMod val="135000"/>
                    </a:schemeClr>
                  </a:gs>
                </a:gsLst>
                <a:lin ang="16200000" scaled="0"/>
              </a:gradFill>
              <a:ln>
                <a:noFill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  <a:scene3d>
                <a:camera prst="orthographicFront">
                  <a:rot lat="0" lon="0" rev="0"/>
                </a:camera>
                <a:lightRig rig="threePt" dir="t">
                  <a:rot lat="0" lon="0" rev="1200000"/>
                </a:lightRig>
              </a:scene3d>
              <a:sp3d>
                <a:bevelT w="63500" h="25400"/>
              </a:sp3d>
            </c:spPr>
            <c:extLst>
              <c:ext xmlns:c16="http://schemas.microsoft.com/office/drawing/2014/chart" uri="{C3380CC4-5D6E-409C-BE32-E72D297353CC}">
                <c16:uniqueId val="{00000007-69F1-495A-A056-4E5BC19801B8}"/>
              </c:ext>
            </c:extLst>
          </c:dPt>
          <c:dPt>
            <c:idx val="4"/>
            <c:invertIfNegative val="1"/>
            <c:bubble3D val="0"/>
            <c:spPr>
              <a:gradFill rotWithShape="1">
                <a:gsLst>
                  <a:gs pos="0">
                    <a:schemeClr val="accent5">
                      <a:shade val="51000"/>
                      <a:satMod val="130000"/>
                    </a:schemeClr>
                  </a:gs>
                  <a:gs pos="80000">
                    <a:schemeClr val="accent5">
                      <a:shade val="93000"/>
                      <a:satMod val="130000"/>
                    </a:schemeClr>
                  </a:gs>
                  <a:gs pos="100000">
                    <a:schemeClr val="accent5">
                      <a:shade val="94000"/>
                      <a:satMod val="135000"/>
                    </a:schemeClr>
                  </a:gs>
                </a:gsLst>
                <a:lin ang="16200000" scaled="0"/>
              </a:gradFill>
              <a:ln>
                <a:noFill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  <a:scene3d>
                <a:camera prst="orthographicFront">
                  <a:rot lat="0" lon="0" rev="0"/>
                </a:camera>
                <a:lightRig rig="threePt" dir="t">
                  <a:rot lat="0" lon="0" rev="1200000"/>
                </a:lightRig>
              </a:scene3d>
              <a:sp3d>
                <a:bevelT w="63500" h="25400"/>
              </a:sp3d>
            </c:spPr>
            <c:extLst>
              <c:ext xmlns:c16="http://schemas.microsoft.com/office/drawing/2014/chart" uri="{C3380CC4-5D6E-409C-BE32-E72D297353CC}">
                <c16:uniqueId val="{00000009-69F1-495A-A056-4E5BC19801B8}"/>
              </c:ext>
            </c:extLst>
          </c:dPt>
          <c:dPt>
            <c:idx val="5"/>
            <c:invertIfNegative val="1"/>
            <c:bubble3D val="0"/>
            <c:spPr>
              <a:gradFill rotWithShape="1">
                <a:gsLst>
                  <a:gs pos="0">
                    <a:schemeClr val="accent6">
                      <a:shade val="51000"/>
                      <a:satMod val="130000"/>
                    </a:schemeClr>
                  </a:gs>
                  <a:gs pos="80000">
                    <a:schemeClr val="accent6">
                      <a:shade val="93000"/>
                      <a:satMod val="130000"/>
                    </a:schemeClr>
                  </a:gs>
                  <a:gs pos="100000">
                    <a:schemeClr val="accent6">
                      <a:shade val="94000"/>
                      <a:satMod val="135000"/>
                    </a:schemeClr>
                  </a:gs>
                </a:gsLst>
                <a:lin ang="16200000" scaled="0"/>
              </a:gradFill>
              <a:ln>
                <a:noFill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  <a:scene3d>
                <a:camera prst="orthographicFront">
                  <a:rot lat="0" lon="0" rev="0"/>
                </a:camera>
                <a:lightRig rig="threePt" dir="t">
                  <a:rot lat="0" lon="0" rev="1200000"/>
                </a:lightRig>
              </a:scene3d>
              <a:sp3d>
                <a:bevelT w="63500" h="25400"/>
              </a:sp3d>
            </c:spPr>
            <c:extLst>
              <c:ext xmlns:c16="http://schemas.microsoft.com/office/drawing/2014/chart" uri="{C3380CC4-5D6E-409C-BE32-E72D297353CC}">
                <c16:uniqueId val="{0000000B-69F1-495A-A056-4E5BC19801B8}"/>
              </c:ext>
            </c:extLst>
          </c:dPt>
          <c:dPt>
            <c:idx val="6"/>
            <c:invertIfNegative val="1"/>
            <c:bubble3D val="0"/>
            <c:spPr>
              <a:gradFill rotWithShape="1">
                <a:gsLst>
                  <a:gs pos="0">
                    <a:schemeClr val="accent1">
                      <a:lumMod val="60000"/>
                      <a:shade val="51000"/>
                      <a:satMod val="130000"/>
                    </a:schemeClr>
                  </a:gs>
                  <a:gs pos="80000">
                    <a:schemeClr val="accent1">
                      <a:lumMod val="60000"/>
                      <a:shade val="93000"/>
                      <a:satMod val="130000"/>
                    </a:schemeClr>
                  </a:gs>
                  <a:gs pos="100000">
                    <a:schemeClr val="accent1">
                      <a:lumMod val="60000"/>
                      <a:shade val="94000"/>
                      <a:satMod val="135000"/>
                    </a:schemeClr>
                  </a:gs>
                </a:gsLst>
                <a:lin ang="16200000" scaled="0"/>
              </a:gradFill>
              <a:ln>
                <a:noFill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  <a:scene3d>
                <a:camera prst="orthographicFront">
                  <a:rot lat="0" lon="0" rev="0"/>
                </a:camera>
                <a:lightRig rig="threePt" dir="t">
                  <a:rot lat="0" lon="0" rev="1200000"/>
                </a:lightRig>
              </a:scene3d>
              <a:sp3d>
                <a:bevelT w="63500" h="25400"/>
              </a:sp3d>
            </c:spPr>
            <c:extLst>
              <c:ext xmlns:c16="http://schemas.microsoft.com/office/drawing/2014/chart" uri="{C3380CC4-5D6E-409C-BE32-E72D297353CC}">
                <c16:uniqueId val="{0000000D-69F1-495A-A056-4E5BC19801B8}"/>
              </c:ext>
            </c:extLst>
          </c:dPt>
          <c:dPt>
            <c:idx val="7"/>
            <c:invertIfNegative val="1"/>
            <c:bubble3D val="0"/>
            <c:spPr>
              <a:gradFill rotWithShape="1">
                <a:gsLst>
                  <a:gs pos="0">
                    <a:schemeClr val="accent2">
                      <a:lumMod val="60000"/>
                      <a:shade val="51000"/>
                      <a:satMod val="130000"/>
                    </a:schemeClr>
                  </a:gs>
                  <a:gs pos="80000">
                    <a:schemeClr val="accent2">
                      <a:lumMod val="60000"/>
                      <a:shade val="93000"/>
                      <a:satMod val="130000"/>
                    </a:schemeClr>
                  </a:gs>
                  <a:gs pos="100000">
                    <a:schemeClr val="accent2">
                      <a:lumMod val="60000"/>
                      <a:shade val="94000"/>
                      <a:satMod val="135000"/>
                    </a:schemeClr>
                  </a:gs>
                </a:gsLst>
                <a:lin ang="16200000" scaled="0"/>
              </a:gradFill>
              <a:ln>
                <a:noFill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  <a:scene3d>
                <a:camera prst="orthographicFront">
                  <a:rot lat="0" lon="0" rev="0"/>
                </a:camera>
                <a:lightRig rig="threePt" dir="t">
                  <a:rot lat="0" lon="0" rev="1200000"/>
                </a:lightRig>
              </a:scene3d>
              <a:sp3d>
                <a:bevelT w="63500" h="25400"/>
              </a:sp3d>
            </c:spPr>
            <c:extLst>
              <c:ext xmlns:c16="http://schemas.microsoft.com/office/drawing/2014/chart" uri="{C3380CC4-5D6E-409C-BE32-E72D297353CC}">
                <c16:uniqueId val="{0000000F-69F1-495A-A056-4E5BC19801B8}"/>
              </c:ext>
            </c:extLst>
          </c:dPt>
          <c:dPt>
            <c:idx val="8"/>
            <c:invertIfNegative val="1"/>
            <c:bubble3D val="0"/>
            <c:spPr>
              <a:gradFill rotWithShape="1">
                <a:gsLst>
                  <a:gs pos="0">
                    <a:schemeClr val="accent3">
                      <a:lumMod val="60000"/>
                      <a:shade val="51000"/>
                      <a:satMod val="130000"/>
                    </a:schemeClr>
                  </a:gs>
                  <a:gs pos="80000">
                    <a:schemeClr val="accent3">
                      <a:lumMod val="60000"/>
                      <a:shade val="93000"/>
                      <a:satMod val="130000"/>
                    </a:schemeClr>
                  </a:gs>
                  <a:gs pos="100000">
                    <a:schemeClr val="accent3">
                      <a:lumMod val="60000"/>
                      <a:shade val="94000"/>
                      <a:satMod val="135000"/>
                    </a:schemeClr>
                  </a:gs>
                </a:gsLst>
                <a:lin ang="16200000" scaled="0"/>
              </a:gradFill>
              <a:ln>
                <a:noFill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  <a:scene3d>
                <a:camera prst="orthographicFront">
                  <a:rot lat="0" lon="0" rev="0"/>
                </a:camera>
                <a:lightRig rig="threePt" dir="t">
                  <a:rot lat="0" lon="0" rev="1200000"/>
                </a:lightRig>
              </a:scene3d>
              <a:sp3d>
                <a:bevelT w="63500" h="25400"/>
              </a:sp3d>
            </c:spPr>
            <c:extLst>
              <c:ext xmlns:c16="http://schemas.microsoft.com/office/drawing/2014/chart" uri="{C3380CC4-5D6E-409C-BE32-E72D297353CC}">
                <c16:uniqueId val="{00000011-69F1-495A-A056-4E5BC19801B8}"/>
              </c:ext>
            </c:extLst>
          </c:dPt>
          <c:dPt>
            <c:idx val="9"/>
            <c:invertIfNegative val="1"/>
            <c:bubble3D val="0"/>
            <c:spPr>
              <a:gradFill rotWithShape="1">
                <a:gsLst>
                  <a:gs pos="0">
                    <a:schemeClr val="accent4">
                      <a:lumMod val="60000"/>
                      <a:shade val="51000"/>
                      <a:satMod val="130000"/>
                    </a:schemeClr>
                  </a:gs>
                  <a:gs pos="80000">
                    <a:schemeClr val="accent4">
                      <a:lumMod val="60000"/>
                      <a:shade val="93000"/>
                      <a:satMod val="130000"/>
                    </a:schemeClr>
                  </a:gs>
                  <a:gs pos="100000">
                    <a:schemeClr val="accent4">
                      <a:lumMod val="60000"/>
                      <a:shade val="94000"/>
                      <a:satMod val="135000"/>
                    </a:schemeClr>
                  </a:gs>
                </a:gsLst>
                <a:lin ang="16200000" scaled="0"/>
              </a:gradFill>
              <a:ln>
                <a:noFill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  <a:scene3d>
                <a:camera prst="orthographicFront">
                  <a:rot lat="0" lon="0" rev="0"/>
                </a:camera>
                <a:lightRig rig="threePt" dir="t">
                  <a:rot lat="0" lon="0" rev="1200000"/>
                </a:lightRig>
              </a:scene3d>
              <a:sp3d>
                <a:bevelT w="63500" h="25400"/>
              </a:sp3d>
            </c:spPr>
            <c:extLst>
              <c:ext xmlns:c16="http://schemas.microsoft.com/office/drawing/2014/chart" uri="{C3380CC4-5D6E-409C-BE32-E72D297353CC}">
                <c16:uniqueId val="{00000013-69F1-495A-A056-4E5BC19801B8}"/>
              </c:ext>
            </c:extLst>
          </c:dPt>
          <c:dPt>
            <c:idx val="10"/>
            <c:invertIfNegative val="1"/>
            <c:bubble3D val="0"/>
            <c:spPr>
              <a:gradFill rotWithShape="1">
                <a:gsLst>
                  <a:gs pos="0">
                    <a:schemeClr val="accent5">
                      <a:lumMod val="60000"/>
                      <a:shade val="51000"/>
                      <a:satMod val="130000"/>
                    </a:schemeClr>
                  </a:gs>
                  <a:gs pos="80000">
                    <a:schemeClr val="accent5">
                      <a:lumMod val="60000"/>
                      <a:shade val="93000"/>
                      <a:satMod val="130000"/>
                    </a:schemeClr>
                  </a:gs>
                  <a:gs pos="100000">
                    <a:schemeClr val="accent5">
                      <a:lumMod val="60000"/>
                      <a:shade val="94000"/>
                      <a:satMod val="135000"/>
                    </a:schemeClr>
                  </a:gs>
                </a:gsLst>
                <a:lin ang="16200000" scaled="0"/>
              </a:gradFill>
              <a:ln>
                <a:noFill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  <a:scene3d>
                <a:camera prst="orthographicFront">
                  <a:rot lat="0" lon="0" rev="0"/>
                </a:camera>
                <a:lightRig rig="threePt" dir="t">
                  <a:rot lat="0" lon="0" rev="1200000"/>
                </a:lightRig>
              </a:scene3d>
              <a:sp3d>
                <a:bevelT w="63500" h="25400"/>
              </a:sp3d>
            </c:spPr>
            <c:extLst>
              <c:ext xmlns:c16="http://schemas.microsoft.com/office/drawing/2014/chart" uri="{C3380CC4-5D6E-409C-BE32-E72D297353CC}">
                <c16:uniqueId val="{00000015-69F1-495A-A056-4E5BC19801B8}"/>
              </c:ext>
            </c:extLst>
          </c:dPt>
          <c:cat>
            <c:strRef>
              <c:f>Resumen!$A$12:$A$22</c:f>
              <c:strCache>
                <c:ptCount val="11"/>
                <c:pt idx="0">
                  <c:v>Wendy Murcia</c:v>
                </c:pt>
                <c:pt idx="1">
                  <c:v>Evelyn Oliva</c:v>
                </c:pt>
                <c:pt idx="2">
                  <c:v>David Martinez</c:v>
                </c:pt>
                <c:pt idx="3">
                  <c:v>Mateo Amaya</c:v>
                </c:pt>
                <c:pt idx="4">
                  <c:v>Oscar GYM</c:v>
                </c:pt>
                <c:pt idx="5">
                  <c:v>Raul Matamoros</c:v>
                </c:pt>
                <c:pt idx="6">
                  <c:v>Mr Mario</c:v>
                </c:pt>
                <c:pt idx="7">
                  <c:v>Melvin Salgado</c:v>
                </c:pt>
                <c:pt idx="8">
                  <c:v>Andrea Altamirano</c:v>
                </c:pt>
                <c:pt idx="9">
                  <c:v>Sarahi</c:v>
                </c:pt>
                <c:pt idx="10">
                  <c:v>Muchacho Aguazul</c:v>
                </c:pt>
              </c:strCache>
            </c:strRef>
          </c:cat>
          <c:val>
            <c:numRef>
              <c:f>Resumen!$B$12:$B$22</c:f>
              <c:numCache>
                <c:formatCode>#,##0.00\ "L"</c:formatCode>
                <c:ptCount val="11"/>
                <c:pt idx="0">
                  <c:v>4260</c:v>
                </c:pt>
                <c:pt idx="1">
                  <c:v>410</c:v>
                </c:pt>
                <c:pt idx="2">
                  <c:v>185</c:v>
                </c:pt>
                <c:pt idx="3">
                  <c:v>185</c:v>
                </c:pt>
                <c:pt idx="4">
                  <c:v>550</c:v>
                </c:pt>
                <c:pt idx="5">
                  <c:v>325</c:v>
                </c:pt>
                <c:pt idx="6">
                  <c:v>110</c:v>
                </c:pt>
                <c:pt idx="7">
                  <c:v>450</c:v>
                </c:pt>
                <c:pt idx="8">
                  <c:v>325</c:v>
                </c:pt>
                <c:pt idx="9">
                  <c:v>1875</c:v>
                </c:pt>
                <c:pt idx="10">
                  <c:v>145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5B0-49F5-ABA0-3CDF698FBEE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15"/>
        <c:overlap val="-20"/>
        <c:axId val="10"/>
        <c:axId val="100"/>
      </c:barChart>
      <c:catAx>
        <c:axId val="10"/>
        <c:scaling>
          <c:orientation val="minMax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900" b="1" i="0" u="none" strike="noStrike" kern="1200" cap="all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Lempiras</a:t>
                </a:r>
              </a:p>
            </c:rich>
          </c:tx>
          <c:overlay val="1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900" b="1" i="0" u="none" strike="noStrike" kern="1200" cap="all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12700" cap="flat" cmpd="sng" algn="ctr">
            <a:solidFill>
              <a:schemeClr val="lt1">
                <a:lumMod val="95000"/>
                <a:alpha val="54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lt1">
                  <a:lumMod val="95000"/>
                  <a:alpha val="10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900" b="1" i="0" u="none" strike="noStrike" kern="1200" cap="all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Cliente</a:t>
                </a:r>
              </a:p>
            </c:rich>
          </c:tx>
          <c:overlay val="1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900" b="1" i="0" u="none" strike="noStrike" kern="1200" cap="all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#,##0.00\ &quot;L&quot;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>
                  <a:lumMod val="8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1"/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2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>
        <a:solidFill>
          <a:schemeClr val="phClr"/>
        </a:solidFill>
        <a:round/>
      </a:ln>
    </cs:spPr>
  </cs:dataPointMarker>
  <cs:dataPointMarkerLayout size="5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tx1"/>
    </cs:fontRef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5</xdr:col>
      <xdr:colOff>1063624</xdr:colOff>
      <xdr:row>9</xdr:row>
      <xdr:rowOff>0</xdr:rowOff>
    </xdr:from>
    <xdr:ext cx="10080625" cy="650875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2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304"/>
  <sheetViews>
    <sheetView showGridLines="0" zoomScale="121" zoomScaleNormal="130" workbookViewId="0">
      <pane ySplit="4" topLeftCell="A5" activePane="bottomLeft" state="frozen"/>
      <selection pane="bottomLeft" activeCell="B7" sqref="B7"/>
    </sheetView>
  </sheetViews>
  <sheetFormatPr defaultRowHeight="15" x14ac:dyDescent="0.25"/>
  <cols>
    <col min="1" max="1" width="16" customWidth="1"/>
    <col min="2" max="2" width="34" customWidth="1"/>
    <col min="3" max="3" width="16" customWidth="1"/>
    <col min="4" max="4" width="17" customWidth="1"/>
    <col min="5" max="5" width="15" customWidth="1"/>
    <col min="6" max="6" width="20" customWidth="1"/>
    <col min="7" max="7" width="16" customWidth="1"/>
    <col min="8" max="8" width="34" customWidth="1"/>
    <col min="9" max="9" width="14" customWidth="1"/>
    <col min="10" max="10" width="58.140625" customWidth="1"/>
  </cols>
  <sheetData>
    <row r="1" spans="1:10" ht="32.1" customHeight="1" x14ac:dyDescent="0.25">
      <c r="A1" s="19" t="s">
        <v>0</v>
      </c>
      <c r="B1" s="20"/>
      <c r="C1" s="20"/>
      <c r="D1" s="20"/>
      <c r="E1" s="20"/>
      <c r="F1" s="20"/>
      <c r="G1" s="20"/>
      <c r="H1" s="20"/>
      <c r="I1" s="20"/>
      <c r="J1" s="20"/>
    </row>
    <row r="2" spans="1:10" ht="24" customHeight="1" x14ac:dyDescent="0.25">
      <c r="A2" s="21" t="s">
        <v>1</v>
      </c>
      <c r="B2" s="20"/>
      <c r="C2" s="20"/>
      <c r="D2" s="20"/>
      <c r="E2" s="20"/>
      <c r="F2" s="20"/>
      <c r="G2" s="20"/>
      <c r="H2" s="20"/>
      <c r="I2" s="20"/>
      <c r="J2" s="20"/>
    </row>
    <row r="4" spans="1:10" ht="33.950000000000003" customHeight="1" x14ac:dyDescent="0.25">
      <c r="A4" s="15" t="s">
        <v>2</v>
      </c>
      <c r="B4" s="15" t="s">
        <v>3</v>
      </c>
      <c r="C4" s="15" t="s">
        <v>4</v>
      </c>
      <c r="D4" s="15" t="s">
        <v>5</v>
      </c>
      <c r="E4" s="15" t="s">
        <v>6</v>
      </c>
      <c r="F4" s="15" t="s">
        <v>7</v>
      </c>
      <c r="G4" s="15" t="s">
        <v>8</v>
      </c>
      <c r="H4" s="15" t="s">
        <v>9</v>
      </c>
    </row>
    <row r="5" spans="1:10" ht="43.5" customHeight="1" x14ac:dyDescent="0.25">
      <c r="A5" s="16">
        <v>46292</v>
      </c>
      <c r="B5" s="17" t="s">
        <v>10</v>
      </c>
      <c r="C5" s="18">
        <v>5</v>
      </c>
      <c r="D5" s="18">
        <v>3</v>
      </c>
      <c r="E5" s="18">
        <f t="shared" ref="E5:E68" si="0">IF(B5="","",SUM(C5:D5))</f>
        <v>8</v>
      </c>
      <c r="F5" s="18">
        <f t="shared" ref="F5:F68" si="1">IF(B5="","",C5*5+D5*10)</f>
        <v>55</v>
      </c>
      <c r="G5" s="17" t="str">
        <f t="shared" ref="G5:G68" si="2">IF(B5="","",IF(E5=0,"AGOTADO",IF(E5&lt;=3,"POCO STOCK","DISPONIBLE")))</f>
        <v>DISPONIBLE</v>
      </c>
      <c r="H5" s="17"/>
    </row>
    <row r="6" spans="1:10" x14ac:dyDescent="0.25">
      <c r="A6" s="16">
        <v>46292</v>
      </c>
      <c r="B6" s="17" t="s">
        <v>11</v>
      </c>
      <c r="C6" s="18">
        <v>8</v>
      </c>
      <c r="D6" s="18">
        <v>2</v>
      </c>
      <c r="E6" s="18">
        <f t="shared" si="0"/>
        <v>10</v>
      </c>
      <c r="F6" s="18">
        <f t="shared" si="1"/>
        <v>60</v>
      </c>
      <c r="G6" s="17" t="str">
        <f t="shared" si="2"/>
        <v>DISPONIBLE</v>
      </c>
      <c r="H6" s="17"/>
    </row>
    <row r="7" spans="1:10" x14ac:dyDescent="0.25">
      <c r="A7" s="16"/>
      <c r="B7" s="17"/>
      <c r="C7" s="18"/>
      <c r="D7" s="18"/>
      <c r="E7" s="18" t="str">
        <f t="shared" si="0"/>
        <v/>
      </c>
      <c r="F7" s="18" t="str">
        <f t="shared" si="1"/>
        <v/>
      </c>
      <c r="G7" s="17" t="str">
        <f t="shared" si="2"/>
        <v/>
      </c>
      <c r="H7" s="17"/>
    </row>
    <row r="8" spans="1:10" x14ac:dyDescent="0.25">
      <c r="A8" s="16"/>
      <c r="B8" s="17"/>
      <c r="C8" s="18"/>
      <c r="D8" s="18"/>
      <c r="E8" s="18" t="str">
        <f t="shared" si="0"/>
        <v/>
      </c>
      <c r="F8" s="18" t="str">
        <f t="shared" si="1"/>
        <v/>
      </c>
      <c r="G8" s="17" t="str">
        <f t="shared" si="2"/>
        <v/>
      </c>
      <c r="H8" s="17"/>
    </row>
    <row r="9" spans="1:10" x14ac:dyDescent="0.25">
      <c r="A9" s="16"/>
      <c r="B9" s="17"/>
      <c r="C9" s="18"/>
      <c r="D9" s="18"/>
      <c r="E9" s="18" t="str">
        <f t="shared" si="0"/>
        <v/>
      </c>
      <c r="F9" s="18" t="str">
        <f t="shared" si="1"/>
        <v/>
      </c>
      <c r="G9" s="17" t="str">
        <f t="shared" si="2"/>
        <v/>
      </c>
      <c r="H9" s="17"/>
    </row>
    <row r="10" spans="1:10" x14ac:dyDescent="0.25">
      <c r="A10" s="16"/>
      <c r="B10" s="17"/>
      <c r="C10" s="18"/>
      <c r="D10" s="18"/>
      <c r="E10" s="18" t="str">
        <f t="shared" si="0"/>
        <v/>
      </c>
      <c r="F10" s="18" t="str">
        <f t="shared" si="1"/>
        <v/>
      </c>
      <c r="G10" s="17" t="str">
        <f t="shared" si="2"/>
        <v/>
      </c>
      <c r="H10" s="17"/>
    </row>
    <row r="11" spans="1:10" x14ac:dyDescent="0.25">
      <c r="A11" s="16"/>
      <c r="B11" s="17"/>
      <c r="C11" s="18"/>
      <c r="D11" s="18"/>
      <c r="E11" s="18" t="str">
        <f t="shared" si="0"/>
        <v/>
      </c>
      <c r="F11" s="18" t="str">
        <f t="shared" si="1"/>
        <v/>
      </c>
      <c r="G11" s="17" t="str">
        <f t="shared" si="2"/>
        <v/>
      </c>
      <c r="H11" s="17"/>
    </row>
    <row r="12" spans="1:10" x14ac:dyDescent="0.25">
      <c r="A12" s="16"/>
      <c r="B12" s="17"/>
      <c r="C12" s="18"/>
      <c r="D12" s="18"/>
      <c r="E12" s="18" t="str">
        <f t="shared" si="0"/>
        <v/>
      </c>
      <c r="F12" s="18" t="str">
        <f t="shared" si="1"/>
        <v/>
      </c>
      <c r="G12" s="17" t="str">
        <f t="shared" si="2"/>
        <v/>
      </c>
      <c r="H12" s="17"/>
    </row>
    <row r="13" spans="1:10" x14ac:dyDescent="0.25">
      <c r="A13" s="16"/>
      <c r="B13" s="17"/>
      <c r="C13" s="18"/>
      <c r="D13" s="18"/>
      <c r="E13" s="18" t="str">
        <f t="shared" si="0"/>
        <v/>
      </c>
      <c r="F13" s="18" t="str">
        <f t="shared" si="1"/>
        <v/>
      </c>
      <c r="G13" s="17" t="str">
        <f t="shared" si="2"/>
        <v/>
      </c>
      <c r="H13" s="17"/>
    </row>
    <row r="14" spans="1:10" x14ac:dyDescent="0.25">
      <c r="A14" s="16"/>
      <c r="B14" s="17"/>
      <c r="C14" s="18"/>
      <c r="D14" s="18"/>
      <c r="E14" s="18" t="str">
        <f t="shared" si="0"/>
        <v/>
      </c>
      <c r="F14" s="18" t="str">
        <f t="shared" si="1"/>
        <v/>
      </c>
      <c r="G14" s="17" t="str">
        <f t="shared" si="2"/>
        <v/>
      </c>
      <c r="H14" s="17"/>
    </row>
    <row r="15" spans="1:10" x14ac:dyDescent="0.25">
      <c r="A15" s="16"/>
      <c r="B15" s="17"/>
      <c r="C15" s="18"/>
      <c r="D15" s="18"/>
      <c r="E15" s="18" t="str">
        <f t="shared" si="0"/>
        <v/>
      </c>
      <c r="F15" s="18" t="str">
        <f t="shared" si="1"/>
        <v/>
      </c>
      <c r="G15" s="17" t="str">
        <f t="shared" si="2"/>
        <v/>
      </c>
      <c r="H15" s="17"/>
    </row>
    <row r="16" spans="1:10" x14ac:dyDescent="0.25">
      <c r="A16" s="16"/>
      <c r="B16" s="17"/>
      <c r="C16" s="18"/>
      <c r="D16" s="18"/>
      <c r="E16" s="18" t="str">
        <f t="shared" si="0"/>
        <v/>
      </c>
      <c r="F16" s="18" t="str">
        <f t="shared" si="1"/>
        <v/>
      </c>
      <c r="G16" s="17" t="str">
        <f t="shared" si="2"/>
        <v/>
      </c>
      <c r="H16" s="17"/>
    </row>
    <row r="17" spans="1:8" x14ac:dyDescent="0.25">
      <c r="A17" s="16"/>
      <c r="B17" s="17"/>
      <c r="C17" s="18"/>
      <c r="D17" s="18"/>
      <c r="E17" s="18" t="str">
        <f t="shared" si="0"/>
        <v/>
      </c>
      <c r="F17" s="18" t="str">
        <f t="shared" si="1"/>
        <v/>
      </c>
      <c r="G17" s="17" t="str">
        <f t="shared" si="2"/>
        <v/>
      </c>
      <c r="H17" s="17"/>
    </row>
    <row r="18" spans="1:8" x14ac:dyDescent="0.25">
      <c r="A18" s="16"/>
      <c r="B18" s="17"/>
      <c r="C18" s="18"/>
      <c r="D18" s="18"/>
      <c r="E18" s="18" t="str">
        <f t="shared" si="0"/>
        <v/>
      </c>
      <c r="F18" s="18" t="str">
        <f t="shared" si="1"/>
        <v/>
      </c>
      <c r="G18" s="17" t="str">
        <f t="shared" si="2"/>
        <v/>
      </c>
      <c r="H18" s="17"/>
    </row>
    <row r="19" spans="1:8" x14ac:dyDescent="0.25">
      <c r="A19" s="16"/>
      <c r="B19" s="17"/>
      <c r="C19" s="18"/>
      <c r="D19" s="18"/>
      <c r="E19" s="18" t="str">
        <f t="shared" si="0"/>
        <v/>
      </c>
      <c r="F19" s="18" t="str">
        <f t="shared" si="1"/>
        <v/>
      </c>
      <c r="G19" s="17" t="str">
        <f t="shared" si="2"/>
        <v/>
      </c>
      <c r="H19" s="17"/>
    </row>
    <row r="20" spans="1:8" x14ac:dyDescent="0.25">
      <c r="A20" s="16"/>
      <c r="B20" s="17"/>
      <c r="C20" s="18"/>
      <c r="D20" s="18"/>
      <c r="E20" s="18" t="str">
        <f t="shared" si="0"/>
        <v/>
      </c>
      <c r="F20" s="18" t="str">
        <f t="shared" si="1"/>
        <v/>
      </c>
      <c r="G20" s="17" t="str">
        <f t="shared" si="2"/>
        <v/>
      </c>
      <c r="H20" s="17"/>
    </row>
    <row r="21" spans="1:8" x14ac:dyDescent="0.25">
      <c r="A21" s="16"/>
      <c r="B21" s="17"/>
      <c r="C21" s="18"/>
      <c r="D21" s="18"/>
      <c r="E21" s="18" t="str">
        <f t="shared" si="0"/>
        <v/>
      </c>
      <c r="F21" s="18" t="str">
        <f t="shared" si="1"/>
        <v/>
      </c>
      <c r="G21" s="17" t="str">
        <f t="shared" si="2"/>
        <v/>
      </c>
      <c r="H21" s="17"/>
    </row>
    <row r="22" spans="1:8" x14ac:dyDescent="0.25">
      <c r="A22" s="16"/>
      <c r="B22" s="17"/>
      <c r="C22" s="18"/>
      <c r="D22" s="18"/>
      <c r="E22" s="18" t="str">
        <f t="shared" si="0"/>
        <v/>
      </c>
      <c r="F22" s="18" t="str">
        <f t="shared" si="1"/>
        <v/>
      </c>
      <c r="G22" s="17" t="str">
        <f t="shared" si="2"/>
        <v/>
      </c>
      <c r="H22" s="17"/>
    </row>
    <row r="23" spans="1:8" x14ac:dyDescent="0.25">
      <c r="A23" s="16"/>
      <c r="B23" s="17"/>
      <c r="C23" s="18"/>
      <c r="D23" s="18"/>
      <c r="E23" s="18" t="str">
        <f t="shared" si="0"/>
        <v/>
      </c>
      <c r="F23" s="18" t="str">
        <f t="shared" si="1"/>
        <v/>
      </c>
      <c r="G23" s="17" t="str">
        <f t="shared" si="2"/>
        <v/>
      </c>
      <c r="H23" s="17"/>
    </row>
    <row r="24" spans="1:8" x14ac:dyDescent="0.25">
      <c r="A24" s="16"/>
      <c r="B24" s="17"/>
      <c r="C24" s="18"/>
      <c r="D24" s="18"/>
      <c r="E24" s="18" t="str">
        <f t="shared" si="0"/>
        <v/>
      </c>
      <c r="F24" s="18" t="str">
        <f t="shared" si="1"/>
        <v/>
      </c>
      <c r="G24" s="17" t="str">
        <f t="shared" si="2"/>
        <v/>
      </c>
      <c r="H24" s="17"/>
    </row>
    <row r="25" spans="1:8" x14ac:dyDescent="0.25">
      <c r="A25" s="16"/>
      <c r="B25" s="17"/>
      <c r="C25" s="18"/>
      <c r="D25" s="18"/>
      <c r="E25" s="18" t="str">
        <f t="shared" si="0"/>
        <v/>
      </c>
      <c r="F25" s="18" t="str">
        <f t="shared" si="1"/>
        <v/>
      </c>
      <c r="G25" s="17" t="str">
        <f t="shared" si="2"/>
        <v/>
      </c>
      <c r="H25" s="17"/>
    </row>
    <row r="26" spans="1:8" x14ac:dyDescent="0.25">
      <c r="A26" s="16"/>
      <c r="B26" s="17"/>
      <c r="C26" s="18"/>
      <c r="D26" s="18"/>
      <c r="E26" s="18" t="str">
        <f t="shared" si="0"/>
        <v/>
      </c>
      <c r="F26" s="18" t="str">
        <f t="shared" si="1"/>
        <v/>
      </c>
      <c r="G26" s="17" t="str">
        <f t="shared" si="2"/>
        <v/>
      </c>
      <c r="H26" s="17"/>
    </row>
    <row r="27" spans="1:8" x14ac:dyDescent="0.25">
      <c r="A27" s="16"/>
      <c r="B27" s="17"/>
      <c r="C27" s="18"/>
      <c r="D27" s="18"/>
      <c r="E27" s="18" t="str">
        <f t="shared" si="0"/>
        <v/>
      </c>
      <c r="F27" s="18" t="str">
        <f t="shared" si="1"/>
        <v/>
      </c>
      <c r="G27" s="17" t="str">
        <f t="shared" si="2"/>
        <v/>
      </c>
      <c r="H27" s="17"/>
    </row>
    <row r="28" spans="1:8" x14ac:dyDescent="0.25">
      <c r="A28" s="16"/>
      <c r="B28" s="17"/>
      <c r="C28" s="18"/>
      <c r="D28" s="18"/>
      <c r="E28" s="18" t="str">
        <f t="shared" si="0"/>
        <v/>
      </c>
      <c r="F28" s="18" t="str">
        <f t="shared" si="1"/>
        <v/>
      </c>
      <c r="G28" s="17" t="str">
        <f t="shared" si="2"/>
        <v/>
      </c>
      <c r="H28" s="17"/>
    </row>
    <row r="29" spans="1:8" x14ac:dyDescent="0.25">
      <c r="A29" s="16"/>
      <c r="B29" s="17"/>
      <c r="C29" s="18"/>
      <c r="D29" s="18"/>
      <c r="E29" s="18" t="str">
        <f t="shared" si="0"/>
        <v/>
      </c>
      <c r="F29" s="18" t="str">
        <f t="shared" si="1"/>
        <v/>
      </c>
      <c r="G29" s="17" t="str">
        <f t="shared" si="2"/>
        <v/>
      </c>
      <c r="H29" s="17"/>
    </row>
    <row r="30" spans="1:8" x14ac:dyDescent="0.25">
      <c r="A30" s="16"/>
      <c r="B30" s="17"/>
      <c r="C30" s="18"/>
      <c r="D30" s="18"/>
      <c r="E30" s="18" t="str">
        <f t="shared" si="0"/>
        <v/>
      </c>
      <c r="F30" s="18" t="str">
        <f t="shared" si="1"/>
        <v/>
      </c>
      <c r="G30" s="17" t="str">
        <f t="shared" si="2"/>
        <v/>
      </c>
      <c r="H30" s="17"/>
    </row>
    <row r="31" spans="1:8" x14ac:dyDescent="0.25">
      <c r="A31" s="16"/>
      <c r="B31" s="17"/>
      <c r="C31" s="18"/>
      <c r="D31" s="18"/>
      <c r="E31" s="18" t="str">
        <f t="shared" si="0"/>
        <v/>
      </c>
      <c r="F31" s="18" t="str">
        <f t="shared" si="1"/>
        <v/>
      </c>
      <c r="G31" s="17" t="str">
        <f t="shared" si="2"/>
        <v/>
      </c>
      <c r="H31" s="17"/>
    </row>
    <row r="32" spans="1:8" x14ac:dyDescent="0.25">
      <c r="A32" s="16"/>
      <c r="B32" s="17"/>
      <c r="C32" s="18"/>
      <c r="D32" s="18"/>
      <c r="E32" s="18" t="str">
        <f t="shared" si="0"/>
        <v/>
      </c>
      <c r="F32" s="18" t="str">
        <f t="shared" si="1"/>
        <v/>
      </c>
      <c r="G32" s="17" t="str">
        <f t="shared" si="2"/>
        <v/>
      </c>
      <c r="H32" s="17"/>
    </row>
    <row r="33" spans="1:8" x14ac:dyDescent="0.25">
      <c r="A33" s="16"/>
      <c r="B33" s="17"/>
      <c r="C33" s="18"/>
      <c r="D33" s="18"/>
      <c r="E33" s="18" t="str">
        <f t="shared" si="0"/>
        <v/>
      </c>
      <c r="F33" s="18" t="str">
        <f t="shared" si="1"/>
        <v/>
      </c>
      <c r="G33" s="17" t="str">
        <f t="shared" si="2"/>
        <v/>
      </c>
      <c r="H33" s="17"/>
    </row>
    <row r="34" spans="1:8" x14ac:dyDescent="0.25">
      <c r="A34" s="16"/>
      <c r="B34" s="17"/>
      <c r="C34" s="18"/>
      <c r="D34" s="18"/>
      <c r="E34" s="18" t="str">
        <f t="shared" si="0"/>
        <v/>
      </c>
      <c r="F34" s="18" t="str">
        <f t="shared" si="1"/>
        <v/>
      </c>
      <c r="G34" s="17" t="str">
        <f t="shared" si="2"/>
        <v/>
      </c>
      <c r="H34" s="17"/>
    </row>
    <row r="35" spans="1:8" x14ac:dyDescent="0.25">
      <c r="A35" s="16"/>
      <c r="B35" s="17"/>
      <c r="C35" s="18"/>
      <c r="D35" s="18"/>
      <c r="E35" s="18" t="str">
        <f t="shared" si="0"/>
        <v/>
      </c>
      <c r="F35" s="18" t="str">
        <f t="shared" si="1"/>
        <v/>
      </c>
      <c r="G35" s="17" t="str">
        <f t="shared" si="2"/>
        <v/>
      </c>
      <c r="H35" s="17"/>
    </row>
    <row r="36" spans="1:8" x14ac:dyDescent="0.25">
      <c r="A36" s="16"/>
      <c r="B36" s="17"/>
      <c r="C36" s="18"/>
      <c r="D36" s="18"/>
      <c r="E36" s="18" t="str">
        <f t="shared" si="0"/>
        <v/>
      </c>
      <c r="F36" s="18" t="str">
        <f t="shared" si="1"/>
        <v/>
      </c>
      <c r="G36" s="17" t="str">
        <f t="shared" si="2"/>
        <v/>
      </c>
      <c r="H36" s="17"/>
    </row>
    <row r="37" spans="1:8" x14ac:dyDescent="0.25">
      <c r="A37" s="16"/>
      <c r="B37" s="17"/>
      <c r="C37" s="18"/>
      <c r="D37" s="18"/>
      <c r="E37" s="18" t="str">
        <f t="shared" si="0"/>
        <v/>
      </c>
      <c r="F37" s="18" t="str">
        <f t="shared" si="1"/>
        <v/>
      </c>
      <c r="G37" s="17" t="str">
        <f t="shared" si="2"/>
        <v/>
      </c>
      <c r="H37" s="17"/>
    </row>
    <row r="38" spans="1:8" x14ac:dyDescent="0.25">
      <c r="A38" s="16"/>
      <c r="B38" s="17"/>
      <c r="C38" s="18"/>
      <c r="D38" s="18"/>
      <c r="E38" s="18" t="str">
        <f t="shared" si="0"/>
        <v/>
      </c>
      <c r="F38" s="18" t="str">
        <f t="shared" si="1"/>
        <v/>
      </c>
      <c r="G38" s="17" t="str">
        <f t="shared" si="2"/>
        <v/>
      </c>
      <c r="H38" s="17"/>
    </row>
    <row r="39" spans="1:8" x14ac:dyDescent="0.25">
      <c r="A39" s="16"/>
      <c r="B39" s="17"/>
      <c r="C39" s="18"/>
      <c r="D39" s="18"/>
      <c r="E39" s="18" t="str">
        <f t="shared" si="0"/>
        <v/>
      </c>
      <c r="F39" s="18" t="str">
        <f t="shared" si="1"/>
        <v/>
      </c>
      <c r="G39" s="17" t="str">
        <f t="shared" si="2"/>
        <v/>
      </c>
      <c r="H39" s="17"/>
    </row>
    <row r="40" spans="1:8" x14ac:dyDescent="0.25">
      <c r="A40" s="16"/>
      <c r="B40" s="17"/>
      <c r="C40" s="18"/>
      <c r="D40" s="18"/>
      <c r="E40" s="18" t="str">
        <f t="shared" si="0"/>
        <v/>
      </c>
      <c r="F40" s="18" t="str">
        <f t="shared" si="1"/>
        <v/>
      </c>
      <c r="G40" s="17" t="str">
        <f t="shared" si="2"/>
        <v/>
      </c>
      <c r="H40" s="17"/>
    </row>
    <row r="41" spans="1:8" x14ac:dyDescent="0.25">
      <c r="A41" s="16"/>
      <c r="B41" s="17"/>
      <c r="C41" s="18"/>
      <c r="D41" s="18"/>
      <c r="E41" s="18" t="str">
        <f t="shared" si="0"/>
        <v/>
      </c>
      <c r="F41" s="18" t="str">
        <f t="shared" si="1"/>
        <v/>
      </c>
      <c r="G41" s="17" t="str">
        <f t="shared" si="2"/>
        <v/>
      </c>
      <c r="H41" s="17"/>
    </row>
    <row r="42" spans="1:8" x14ac:dyDescent="0.25">
      <c r="A42" s="16"/>
      <c r="B42" s="17"/>
      <c r="C42" s="18"/>
      <c r="D42" s="18"/>
      <c r="E42" s="18" t="str">
        <f t="shared" si="0"/>
        <v/>
      </c>
      <c r="F42" s="18" t="str">
        <f t="shared" si="1"/>
        <v/>
      </c>
      <c r="G42" s="17" t="str">
        <f t="shared" si="2"/>
        <v/>
      </c>
      <c r="H42" s="17"/>
    </row>
    <row r="43" spans="1:8" x14ac:dyDescent="0.25">
      <c r="A43" s="16"/>
      <c r="B43" s="17"/>
      <c r="C43" s="18"/>
      <c r="D43" s="18"/>
      <c r="E43" s="18" t="str">
        <f t="shared" si="0"/>
        <v/>
      </c>
      <c r="F43" s="18" t="str">
        <f t="shared" si="1"/>
        <v/>
      </c>
      <c r="G43" s="17" t="str">
        <f t="shared" si="2"/>
        <v/>
      </c>
      <c r="H43" s="17"/>
    </row>
    <row r="44" spans="1:8" x14ac:dyDescent="0.25">
      <c r="A44" s="16"/>
      <c r="B44" s="17"/>
      <c r="C44" s="18"/>
      <c r="D44" s="18"/>
      <c r="E44" s="18" t="str">
        <f t="shared" si="0"/>
        <v/>
      </c>
      <c r="F44" s="18" t="str">
        <f t="shared" si="1"/>
        <v/>
      </c>
      <c r="G44" s="17" t="str">
        <f t="shared" si="2"/>
        <v/>
      </c>
      <c r="H44" s="17"/>
    </row>
    <row r="45" spans="1:8" x14ac:dyDescent="0.25">
      <c r="A45" s="16"/>
      <c r="B45" s="17"/>
      <c r="C45" s="18"/>
      <c r="D45" s="18"/>
      <c r="E45" s="18" t="str">
        <f t="shared" si="0"/>
        <v/>
      </c>
      <c r="F45" s="18" t="str">
        <f t="shared" si="1"/>
        <v/>
      </c>
      <c r="G45" s="17" t="str">
        <f t="shared" si="2"/>
        <v/>
      </c>
      <c r="H45" s="17"/>
    </row>
    <row r="46" spans="1:8" x14ac:dyDescent="0.25">
      <c r="A46" s="16"/>
      <c r="B46" s="17"/>
      <c r="C46" s="18"/>
      <c r="D46" s="18"/>
      <c r="E46" s="18" t="str">
        <f t="shared" si="0"/>
        <v/>
      </c>
      <c r="F46" s="18" t="str">
        <f t="shared" si="1"/>
        <v/>
      </c>
      <c r="G46" s="17" t="str">
        <f t="shared" si="2"/>
        <v/>
      </c>
      <c r="H46" s="17"/>
    </row>
    <row r="47" spans="1:8" x14ac:dyDescent="0.25">
      <c r="A47" s="16"/>
      <c r="B47" s="17"/>
      <c r="C47" s="18"/>
      <c r="D47" s="18"/>
      <c r="E47" s="18" t="str">
        <f t="shared" si="0"/>
        <v/>
      </c>
      <c r="F47" s="18" t="str">
        <f t="shared" si="1"/>
        <v/>
      </c>
      <c r="G47" s="17" t="str">
        <f t="shared" si="2"/>
        <v/>
      </c>
      <c r="H47" s="17"/>
    </row>
    <row r="48" spans="1:8" x14ac:dyDescent="0.25">
      <c r="A48" s="16"/>
      <c r="B48" s="17"/>
      <c r="C48" s="18"/>
      <c r="D48" s="18"/>
      <c r="E48" s="18" t="str">
        <f t="shared" si="0"/>
        <v/>
      </c>
      <c r="F48" s="18" t="str">
        <f t="shared" si="1"/>
        <v/>
      </c>
      <c r="G48" s="17" t="str">
        <f t="shared" si="2"/>
        <v/>
      </c>
      <c r="H48" s="17"/>
    </row>
    <row r="49" spans="1:8" x14ac:dyDescent="0.25">
      <c r="A49" s="16"/>
      <c r="B49" s="17"/>
      <c r="C49" s="18"/>
      <c r="D49" s="18"/>
      <c r="E49" s="18" t="str">
        <f t="shared" si="0"/>
        <v/>
      </c>
      <c r="F49" s="18" t="str">
        <f t="shared" si="1"/>
        <v/>
      </c>
      <c r="G49" s="17" t="str">
        <f t="shared" si="2"/>
        <v/>
      </c>
      <c r="H49" s="17"/>
    </row>
    <row r="50" spans="1:8" x14ac:dyDescent="0.25">
      <c r="A50" s="16"/>
      <c r="B50" s="17"/>
      <c r="C50" s="18"/>
      <c r="D50" s="18"/>
      <c r="E50" s="18" t="str">
        <f t="shared" si="0"/>
        <v/>
      </c>
      <c r="F50" s="18" t="str">
        <f t="shared" si="1"/>
        <v/>
      </c>
      <c r="G50" s="17" t="str">
        <f t="shared" si="2"/>
        <v/>
      </c>
      <c r="H50" s="17"/>
    </row>
    <row r="51" spans="1:8" x14ac:dyDescent="0.25">
      <c r="A51" s="16"/>
      <c r="B51" s="17"/>
      <c r="C51" s="18"/>
      <c r="D51" s="18"/>
      <c r="E51" s="18" t="str">
        <f t="shared" si="0"/>
        <v/>
      </c>
      <c r="F51" s="18" t="str">
        <f t="shared" si="1"/>
        <v/>
      </c>
      <c r="G51" s="17" t="str">
        <f t="shared" si="2"/>
        <v/>
      </c>
      <c r="H51" s="17"/>
    </row>
    <row r="52" spans="1:8" x14ac:dyDescent="0.25">
      <c r="A52" s="16"/>
      <c r="B52" s="17"/>
      <c r="C52" s="18"/>
      <c r="D52" s="18"/>
      <c r="E52" s="18" t="str">
        <f t="shared" si="0"/>
        <v/>
      </c>
      <c r="F52" s="18" t="str">
        <f t="shared" si="1"/>
        <v/>
      </c>
      <c r="G52" s="17" t="str">
        <f t="shared" si="2"/>
        <v/>
      </c>
      <c r="H52" s="17"/>
    </row>
    <row r="53" spans="1:8" x14ac:dyDescent="0.25">
      <c r="A53" s="16"/>
      <c r="B53" s="17"/>
      <c r="C53" s="18"/>
      <c r="D53" s="18"/>
      <c r="E53" s="18" t="str">
        <f t="shared" si="0"/>
        <v/>
      </c>
      <c r="F53" s="18" t="str">
        <f t="shared" si="1"/>
        <v/>
      </c>
      <c r="G53" s="17" t="str">
        <f t="shared" si="2"/>
        <v/>
      </c>
      <c r="H53" s="17"/>
    </row>
    <row r="54" spans="1:8" x14ac:dyDescent="0.25">
      <c r="A54" s="16"/>
      <c r="B54" s="17"/>
      <c r="C54" s="18"/>
      <c r="D54" s="18"/>
      <c r="E54" s="18" t="str">
        <f t="shared" si="0"/>
        <v/>
      </c>
      <c r="F54" s="18" t="str">
        <f t="shared" si="1"/>
        <v/>
      </c>
      <c r="G54" s="17" t="str">
        <f t="shared" si="2"/>
        <v/>
      </c>
      <c r="H54" s="17"/>
    </row>
    <row r="55" spans="1:8" x14ac:dyDescent="0.25">
      <c r="A55" s="16"/>
      <c r="B55" s="17"/>
      <c r="C55" s="18"/>
      <c r="D55" s="18"/>
      <c r="E55" s="18" t="str">
        <f t="shared" si="0"/>
        <v/>
      </c>
      <c r="F55" s="18" t="str">
        <f t="shared" si="1"/>
        <v/>
      </c>
      <c r="G55" s="17" t="str">
        <f t="shared" si="2"/>
        <v/>
      </c>
      <c r="H55" s="17"/>
    </row>
    <row r="56" spans="1:8" x14ac:dyDescent="0.25">
      <c r="A56" s="16"/>
      <c r="B56" s="17"/>
      <c r="C56" s="18"/>
      <c r="D56" s="18"/>
      <c r="E56" s="18" t="str">
        <f t="shared" si="0"/>
        <v/>
      </c>
      <c r="F56" s="18" t="str">
        <f t="shared" si="1"/>
        <v/>
      </c>
      <c r="G56" s="17" t="str">
        <f t="shared" si="2"/>
        <v/>
      </c>
      <c r="H56" s="17"/>
    </row>
    <row r="57" spans="1:8" x14ac:dyDescent="0.25">
      <c r="A57" s="16"/>
      <c r="B57" s="17"/>
      <c r="C57" s="18"/>
      <c r="D57" s="18"/>
      <c r="E57" s="18" t="str">
        <f t="shared" si="0"/>
        <v/>
      </c>
      <c r="F57" s="18" t="str">
        <f t="shared" si="1"/>
        <v/>
      </c>
      <c r="G57" s="17" t="str">
        <f t="shared" si="2"/>
        <v/>
      </c>
      <c r="H57" s="17"/>
    </row>
    <row r="58" spans="1:8" x14ac:dyDescent="0.25">
      <c r="A58" s="16"/>
      <c r="B58" s="17"/>
      <c r="C58" s="18"/>
      <c r="D58" s="18"/>
      <c r="E58" s="18" t="str">
        <f t="shared" si="0"/>
        <v/>
      </c>
      <c r="F58" s="18" t="str">
        <f t="shared" si="1"/>
        <v/>
      </c>
      <c r="G58" s="17" t="str">
        <f t="shared" si="2"/>
        <v/>
      </c>
      <c r="H58" s="17"/>
    </row>
    <row r="59" spans="1:8" x14ac:dyDescent="0.25">
      <c r="A59" s="16"/>
      <c r="B59" s="17"/>
      <c r="C59" s="18"/>
      <c r="D59" s="18"/>
      <c r="E59" s="18" t="str">
        <f t="shared" si="0"/>
        <v/>
      </c>
      <c r="F59" s="18" t="str">
        <f t="shared" si="1"/>
        <v/>
      </c>
      <c r="G59" s="17" t="str">
        <f t="shared" si="2"/>
        <v/>
      </c>
      <c r="H59" s="17"/>
    </row>
    <row r="60" spans="1:8" x14ac:dyDescent="0.25">
      <c r="A60" s="16"/>
      <c r="B60" s="17"/>
      <c r="C60" s="18"/>
      <c r="D60" s="18"/>
      <c r="E60" s="18" t="str">
        <f t="shared" si="0"/>
        <v/>
      </c>
      <c r="F60" s="18" t="str">
        <f t="shared" si="1"/>
        <v/>
      </c>
      <c r="G60" s="17" t="str">
        <f t="shared" si="2"/>
        <v/>
      </c>
      <c r="H60" s="17"/>
    </row>
    <row r="61" spans="1:8" x14ac:dyDescent="0.25">
      <c r="A61" s="16"/>
      <c r="B61" s="17"/>
      <c r="C61" s="18"/>
      <c r="D61" s="18"/>
      <c r="E61" s="18" t="str">
        <f t="shared" si="0"/>
        <v/>
      </c>
      <c r="F61" s="18" t="str">
        <f t="shared" si="1"/>
        <v/>
      </c>
      <c r="G61" s="17" t="str">
        <f t="shared" si="2"/>
        <v/>
      </c>
      <c r="H61" s="17"/>
    </row>
    <row r="62" spans="1:8" x14ac:dyDescent="0.25">
      <c r="A62" s="16"/>
      <c r="B62" s="17"/>
      <c r="C62" s="18"/>
      <c r="D62" s="18"/>
      <c r="E62" s="18" t="str">
        <f t="shared" si="0"/>
        <v/>
      </c>
      <c r="F62" s="18" t="str">
        <f t="shared" si="1"/>
        <v/>
      </c>
      <c r="G62" s="17" t="str">
        <f t="shared" si="2"/>
        <v/>
      </c>
      <c r="H62" s="17"/>
    </row>
    <row r="63" spans="1:8" x14ac:dyDescent="0.25">
      <c r="A63" s="16"/>
      <c r="B63" s="17"/>
      <c r="C63" s="18"/>
      <c r="D63" s="18"/>
      <c r="E63" s="18" t="str">
        <f t="shared" si="0"/>
        <v/>
      </c>
      <c r="F63" s="18" t="str">
        <f t="shared" si="1"/>
        <v/>
      </c>
      <c r="G63" s="17" t="str">
        <f t="shared" si="2"/>
        <v/>
      </c>
      <c r="H63" s="17"/>
    </row>
    <row r="64" spans="1:8" x14ac:dyDescent="0.25">
      <c r="A64" s="16"/>
      <c r="B64" s="17"/>
      <c r="C64" s="18"/>
      <c r="D64" s="18"/>
      <c r="E64" s="18" t="str">
        <f t="shared" si="0"/>
        <v/>
      </c>
      <c r="F64" s="18" t="str">
        <f t="shared" si="1"/>
        <v/>
      </c>
      <c r="G64" s="17" t="str">
        <f t="shared" si="2"/>
        <v/>
      </c>
      <c r="H64" s="17"/>
    </row>
    <row r="65" spans="1:8" x14ac:dyDescent="0.25">
      <c r="A65" s="16"/>
      <c r="B65" s="17"/>
      <c r="C65" s="18"/>
      <c r="D65" s="18"/>
      <c r="E65" s="18" t="str">
        <f t="shared" si="0"/>
        <v/>
      </c>
      <c r="F65" s="18" t="str">
        <f t="shared" si="1"/>
        <v/>
      </c>
      <c r="G65" s="17" t="str">
        <f t="shared" si="2"/>
        <v/>
      </c>
      <c r="H65" s="17"/>
    </row>
    <row r="66" spans="1:8" x14ac:dyDescent="0.25">
      <c r="A66" s="16"/>
      <c r="B66" s="17"/>
      <c r="C66" s="18"/>
      <c r="D66" s="18"/>
      <c r="E66" s="18" t="str">
        <f t="shared" si="0"/>
        <v/>
      </c>
      <c r="F66" s="18" t="str">
        <f t="shared" si="1"/>
        <v/>
      </c>
      <c r="G66" s="17" t="str">
        <f t="shared" si="2"/>
        <v/>
      </c>
      <c r="H66" s="17"/>
    </row>
    <row r="67" spans="1:8" x14ac:dyDescent="0.25">
      <c r="A67" s="16"/>
      <c r="B67" s="17"/>
      <c r="C67" s="18"/>
      <c r="D67" s="18"/>
      <c r="E67" s="18" t="str">
        <f t="shared" si="0"/>
        <v/>
      </c>
      <c r="F67" s="18" t="str">
        <f t="shared" si="1"/>
        <v/>
      </c>
      <c r="G67" s="17" t="str">
        <f t="shared" si="2"/>
        <v/>
      </c>
      <c r="H67" s="17"/>
    </row>
    <row r="68" spans="1:8" x14ac:dyDescent="0.25">
      <c r="A68" s="16"/>
      <c r="B68" s="17"/>
      <c r="C68" s="18"/>
      <c r="D68" s="18"/>
      <c r="E68" s="18" t="str">
        <f t="shared" si="0"/>
        <v/>
      </c>
      <c r="F68" s="18" t="str">
        <f t="shared" si="1"/>
        <v/>
      </c>
      <c r="G68" s="17" t="str">
        <f t="shared" si="2"/>
        <v/>
      </c>
      <c r="H68" s="17"/>
    </row>
    <row r="69" spans="1:8" x14ac:dyDescent="0.25">
      <c r="A69" s="16"/>
      <c r="B69" s="17"/>
      <c r="C69" s="18"/>
      <c r="D69" s="18"/>
      <c r="E69" s="18" t="str">
        <f t="shared" ref="E69:E132" si="3">IF(B69="","",SUM(C69:D69))</f>
        <v/>
      </c>
      <c r="F69" s="18" t="str">
        <f t="shared" ref="F69:F132" si="4">IF(B69="","",C69*5+D69*10)</f>
        <v/>
      </c>
      <c r="G69" s="17" t="str">
        <f t="shared" ref="G69:G132" si="5">IF(B69="","",IF(E69=0,"AGOTADO",IF(E69&lt;=3,"POCO STOCK","DISPONIBLE")))</f>
        <v/>
      </c>
      <c r="H69" s="17"/>
    </row>
    <row r="70" spans="1:8" x14ac:dyDescent="0.25">
      <c r="A70" s="16"/>
      <c r="B70" s="17"/>
      <c r="C70" s="18"/>
      <c r="D70" s="18"/>
      <c r="E70" s="18" t="str">
        <f t="shared" si="3"/>
        <v/>
      </c>
      <c r="F70" s="18" t="str">
        <f t="shared" si="4"/>
        <v/>
      </c>
      <c r="G70" s="17" t="str">
        <f t="shared" si="5"/>
        <v/>
      </c>
      <c r="H70" s="17"/>
    </row>
    <row r="71" spans="1:8" x14ac:dyDescent="0.25">
      <c r="A71" s="16"/>
      <c r="B71" s="17"/>
      <c r="C71" s="18"/>
      <c r="D71" s="18"/>
      <c r="E71" s="18" t="str">
        <f t="shared" si="3"/>
        <v/>
      </c>
      <c r="F71" s="18" t="str">
        <f t="shared" si="4"/>
        <v/>
      </c>
      <c r="G71" s="17" t="str">
        <f t="shared" si="5"/>
        <v/>
      </c>
      <c r="H71" s="17"/>
    </row>
    <row r="72" spans="1:8" x14ac:dyDescent="0.25">
      <c r="A72" s="16"/>
      <c r="B72" s="17"/>
      <c r="C72" s="18"/>
      <c r="D72" s="18"/>
      <c r="E72" s="18" t="str">
        <f t="shared" si="3"/>
        <v/>
      </c>
      <c r="F72" s="18" t="str">
        <f t="shared" si="4"/>
        <v/>
      </c>
      <c r="G72" s="17" t="str">
        <f t="shared" si="5"/>
        <v/>
      </c>
      <c r="H72" s="17"/>
    </row>
    <row r="73" spans="1:8" x14ac:dyDescent="0.25">
      <c r="A73" s="16"/>
      <c r="B73" s="17"/>
      <c r="C73" s="18"/>
      <c r="D73" s="18"/>
      <c r="E73" s="18" t="str">
        <f t="shared" si="3"/>
        <v/>
      </c>
      <c r="F73" s="18" t="str">
        <f t="shared" si="4"/>
        <v/>
      </c>
      <c r="G73" s="17" t="str">
        <f t="shared" si="5"/>
        <v/>
      </c>
      <c r="H73" s="17"/>
    </row>
    <row r="74" spans="1:8" x14ac:dyDescent="0.25">
      <c r="A74" s="16"/>
      <c r="B74" s="17"/>
      <c r="C74" s="18"/>
      <c r="D74" s="18"/>
      <c r="E74" s="18" t="str">
        <f t="shared" si="3"/>
        <v/>
      </c>
      <c r="F74" s="18" t="str">
        <f t="shared" si="4"/>
        <v/>
      </c>
      <c r="G74" s="17" t="str">
        <f t="shared" si="5"/>
        <v/>
      </c>
      <c r="H74" s="17"/>
    </row>
    <row r="75" spans="1:8" x14ac:dyDescent="0.25">
      <c r="A75" s="16"/>
      <c r="B75" s="17"/>
      <c r="C75" s="18"/>
      <c r="D75" s="18"/>
      <c r="E75" s="18" t="str">
        <f t="shared" si="3"/>
        <v/>
      </c>
      <c r="F75" s="18" t="str">
        <f t="shared" si="4"/>
        <v/>
      </c>
      <c r="G75" s="17" t="str">
        <f t="shared" si="5"/>
        <v/>
      </c>
      <c r="H75" s="17"/>
    </row>
    <row r="76" spans="1:8" x14ac:dyDescent="0.25">
      <c r="A76" s="16"/>
      <c r="B76" s="17"/>
      <c r="C76" s="18"/>
      <c r="D76" s="18"/>
      <c r="E76" s="18" t="str">
        <f t="shared" si="3"/>
        <v/>
      </c>
      <c r="F76" s="18" t="str">
        <f t="shared" si="4"/>
        <v/>
      </c>
      <c r="G76" s="17" t="str">
        <f t="shared" si="5"/>
        <v/>
      </c>
      <c r="H76" s="17"/>
    </row>
    <row r="77" spans="1:8" x14ac:dyDescent="0.25">
      <c r="A77" s="16"/>
      <c r="B77" s="17"/>
      <c r="C77" s="18"/>
      <c r="D77" s="18"/>
      <c r="E77" s="18" t="str">
        <f t="shared" si="3"/>
        <v/>
      </c>
      <c r="F77" s="18" t="str">
        <f t="shared" si="4"/>
        <v/>
      </c>
      <c r="G77" s="17" t="str">
        <f t="shared" si="5"/>
        <v/>
      </c>
      <c r="H77" s="17"/>
    </row>
    <row r="78" spans="1:8" x14ac:dyDescent="0.25">
      <c r="A78" s="16"/>
      <c r="B78" s="17"/>
      <c r="C78" s="18"/>
      <c r="D78" s="18"/>
      <c r="E78" s="18" t="str">
        <f t="shared" si="3"/>
        <v/>
      </c>
      <c r="F78" s="18" t="str">
        <f t="shared" si="4"/>
        <v/>
      </c>
      <c r="G78" s="17" t="str">
        <f t="shared" si="5"/>
        <v/>
      </c>
      <c r="H78" s="17"/>
    </row>
    <row r="79" spans="1:8" x14ac:dyDescent="0.25">
      <c r="A79" s="16"/>
      <c r="B79" s="17"/>
      <c r="C79" s="18"/>
      <c r="D79" s="18"/>
      <c r="E79" s="18" t="str">
        <f t="shared" si="3"/>
        <v/>
      </c>
      <c r="F79" s="18" t="str">
        <f t="shared" si="4"/>
        <v/>
      </c>
      <c r="G79" s="17" t="str">
        <f t="shared" si="5"/>
        <v/>
      </c>
      <c r="H79" s="17"/>
    </row>
    <row r="80" spans="1:8" x14ac:dyDescent="0.25">
      <c r="A80" s="16"/>
      <c r="B80" s="17"/>
      <c r="C80" s="18"/>
      <c r="D80" s="18"/>
      <c r="E80" s="18" t="str">
        <f t="shared" si="3"/>
        <v/>
      </c>
      <c r="F80" s="18" t="str">
        <f t="shared" si="4"/>
        <v/>
      </c>
      <c r="G80" s="17" t="str">
        <f t="shared" si="5"/>
        <v/>
      </c>
      <c r="H80" s="17"/>
    </row>
    <row r="81" spans="1:8" x14ac:dyDescent="0.25">
      <c r="A81" s="16"/>
      <c r="B81" s="17"/>
      <c r="C81" s="18"/>
      <c r="D81" s="18"/>
      <c r="E81" s="18" t="str">
        <f t="shared" si="3"/>
        <v/>
      </c>
      <c r="F81" s="18" t="str">
        <f t="shared" si="4"/>
        <v/>
      </c>
      <c r="G81" s="17" t="str">
        <f t="shared" si="5"/>
        <v/>
      </c>
      <c r="H81" s="17"/>
    </row>
    <row r="82" spans="1:8" x14ac:dyDescent="0.25">
      <c r="A82" s="16"/>
      <c r="B82" s="17"/>
      <c r="C82" s="18"/>
      <c r="D82" s="18"/>
      <c r="E82" s="18" t="str">
        <f t="shared" si="3"/>
        <v/>
      </c>
      <c r="F82" s="18" t="str">
        <f t="shared" si="4"/>
        <v/>
      </c>
      <c r="G82" s="17" t="str">
        <f t="shared" si="5"/>
        <v/>
      </c>
      <c r="H82" s="17"/>
    </row>
    <row r="83" spans="1:8" x14ac:dyDescent="0.25">
      <c r="A83" s="16"/>
      <c r="B83" s="17"/>
      <c r="C83" s="18"/>
      <c r="D83" s="18"/>
      <c r="E83" s="18" t="str">
        <f t="shared" si="3"/>
        <v/>
      </c>
      <c r="F83" s="18" t="str">
        <f t="shared" si="4"/>
        <v/>
      </c>
      <c r="G83" s="17" t="str">
        <f t="shared" si="5"/>
        <v/>
      </c>
      <c r="H83" s="17"/>
    </row>
    <row r="84" spans="1:8" x14ac:dyDescent="0.25">
      <c r="A84" s="16"/>
      <c r="B84" s="17"/>
      <c r="C84" s="18"/>
      <c r="D84" s="18"/>
      <c r="E84" s="18" t="str">
        <f t="shared" si="3"/>
        <v/>
      </c>
      <c r="F84" s="18" t="str">
        <f t="shared" si="4"/>
        <v/>
      </c>
      <c r="G84" s="17" t="str">
        <f t="shared" si="5"/>
        <v/>
      </c>
      <c r="H84" s="17"/>
    </row>
    <row r="85" spans="1:8" x14ac:dyDescent="0.25">
      <c r="A85" s="16"/>
      <c r="B85" s="17"/>
      <c r="C85" s="18"/>
      <c r="D85" s="18"/>
      <c r="E85" s="18" t="str">
        <f t="shared" si="3"/>
        <v/>
      </c>
      <c r="F85" s="18" t="str">
        <f t="shared" si="4"/>
        <v/>
      </c>
      <c r="G85" s="17" t="str">
        <f t="shared" si="5"/>
        <v/>
      </c>
      <c r="H85" s="17"/>
    </row>
    <row r="86" spans="1:8" x14ac:dyDescent="0.25">
      <c r="A86" s="16"/>
      <c r="B86" s="17"/>
      <c r="C86" s="18"/>
      <c r="D86" s="18"/>
      <c r="E86" s="18" t="str">
        <f t="shared" si="3"/>
        <v/>
      </c>
      <c r="F86" s="18" t="str">
        <f t="shared" si="4"/>
        <v/>
      </c>
      <c r="G86" s="17" t="str">
        <f t="shared" si="5"/>
        <v/>
      </c>
      <c r="H86" s="17"/>
    </row>
    <row r="87" spans="1:8" x14ac:dyDescent="0.25">
      <c r="A87" s="16"/>
      <c r="B87" s="17"/>
      <c r="C87" s="18"/>
      <c r="D87" s="18"/>
      <c r="E87" s="18" t="str">
        <f t="shared" si="3"/>
        <v/>
      </c>
      <c r="F87" s="18" t="str">
        <f t="shared" si="4"/>
        <v/>
      </c>
      <c r="G87" s="17" t="str">
        <f t="shared" si="5"/>
        <v/>
      </c>
      <c r="H87" s="17"/>
    </row>
    <row r="88" spans="1:8" x14ac:dyDescent="0.25">
      <c r="A88" s="16"/>
      <c r="B88" s="17"/>
      <c r="C88" s="18"/>
      <c r="D88" s="18"/>
      <c r="E88" s="18" t="str">
        <f t="shared" si="3"/>
        <v/>
      </c>
      <c r="F88" s="18" t="str">
        <f t="shared" si="4"/>
        <v/>
      </c>
      <c r="G88" s="17" t="str">
        <f t="shared" si="5"/>
        <v/>
      </c>
      <c r="H88" s="17"/>
    </row>
    <row r="89" spans="1:8" x14ac:dyDescent="0.25">
      <c r="A89" s="16"/>
      <c r="B89" s="17"/>
      <c r="C89" s="18"/>
      <c r="D89" s="18"/>
      <c r="E89" s="18" t="str">
        <f t="shared" si="3"/>
        <v/>
      </c>
      <c r="F89" s="18" t="str">
        <f t="shared" si="4"/>
        <v/>
      </c>
      <c r="G89" s="17" t="str">
        <f t="shared" si="5"/>
        <v/>
      </c>
      <c r="H89" s="17"/>
    </row>
    <row r="90" spans="1:8" x14ac:dyDescent="0.25">
      <c r="A90" s="16"/>
      <c r="B90" s="17"/>
      <c r="C90" s="18"/>
      <c r="D90" s="18"/>
      <c r="E90" s="18" t="str">
        <f t="shared" si="3"/>
        <v/>
      </c>
      <c r="F90" s="18" t="str">
        <f t="shared" si="4"/>
        <v/>
      </c>
      <c r="G90" s="17" t="str">
        <f t="shared" si="5"/>
        <v/>
      </c>
      <c r="H90" s="17"/>
    </row>
    <row r="91" spans="1:8" x14ac:dyDescent="0.25">
      <c r="A91" s="16"/>
      <c r="B91" s="17"/>
      <c r="C91" s="18"/>
      <c r="D91" s="18"/>
      <c r="E91" s="18" t="str">
        <f t="shared" si="3"/>
        <v/>
      </c>
      <c r="F91" s="18" t="str">
        <f t="shared" si="4"/>
        <v/>
      </c>
      <c r="G91" s="17" t="str">
        <f t="shared" si="5"/>
        <v/>
      </c>
      <c r="H91" s="17"/>
    </row>
    <row r="92" spans="1:8" x14ac:dyDescent="0.25">
      <c r="A92" s="16"/>
      <c r="B92" s="17"/>
      <c r="C92" s="18"/>
      <c r="D92" s="18"/>
      <c r="E92" s="18" t="str">
        <f t="shared" si="3"/>
        <v/>
      </c>
      <c r="F92" s="18" t="str">
        <f t="shared" si="4"/>
        <v/>
      </c>
      <c r="G92" s="17" t="str">
        <f t="shared" si="5"/>
        <v/>
      </c>
      <c r="H92" s="17"/>
    </row>
    <row r="93" spans="1:8" x14ac:dyDescent="0.25">
      <c r="A93" s="16"/>
      <c r="B93" s="17"/>
      <c r="C93" s="18"/>
      <c r="D93" s="18"/>
      <c r="E93" s="18" t="str">
        <f t="shared" si="3"/>
        <v/>
      </c>
      <c r="F93" s="18" t="str">
        <f t="shared" si="4"/>
        <v/>
      </c>
      <c r="G93" s="17" t="str">
        <f t="shared" si="5"/>
        <v/>
      </c>
      <c r="H93" s="17"/>
    </row>
    <row r="94" spans="1:8" x14ac:dyDescent="0.25">
      <c r="A94" s="16"/>
      <c r="B94" s="17"/>
      <c r="C94" s="18"/>
      <c r="D94" s="18"/>
      <c r="E94" s="18" t="str">
        <f t="shared" si="3"/>
        <v/>
      </c>
      <c r="F94" s="18" t="str">
        <f t="shared" si="4"/>
        <v/>
      </c>
      <c r="G94" s="17" t="str">
        <f t="shared" si="5"/>
        <v/>
      </c>
      <c r="H94" s="17"/>
    </row>
    <row r="95" spans="1:8" x14ac:dyDescent="0.25">
      <c r="A95" s="16"/>
      <c r="B95" s="17"/>
      <c r="C95" s="18"/>
      <c r="D95" s="18"/>
      <c r="E95" s="18" t="str">
        <f t="shared" si="3"/>
        <v/>
      </c>
      <c r="F95" s="18" t="str">
        <f t="shared" si="4"/>
        <v/>
      </c>
      <c r="G95" s="17" t="str">
        <f t="shared" si="5"/>
        <v/>
      </c>
      <c r="H95" s="17"/>
    </row>
    <row r="96" spans="1:8" x14ac:dyDescent="0.25">
      <c r="A96" s="16"/>
      <c r="B96" s="17"/>
      <c r="C96" s="18"/>
      <c r="D96" s="18"/>
      <c r="E96" s="18" t="str">
        <f t="shared" si="3"/>
        <v/>
      </c>
      <c r="F96" s="18" t="str">
        <f t="shared" si="4"/>
        <v/>
      </c>
      <c r="G96" s="17" t="str">
        <f t="shared" si="5"/>
        <v/>
      </c>
      <c r="H96" s="17"/>
    </row>
    <row r="97" spans="1:8" x14ac:dyDescent="0.25">
      <c r="A97" s="16"/>
      <c r="B97" s="17"/>
      <c r="C97" s="18"/>
      <c r="D97" s="18"/>
      <c r="E97" s="18" t="str">
        <f t="shared" si="3"/>
        <v/>
      </c>
      <c r="F97" s="18" t="str">
        <f t="shared" si="4"/>
        <v/>
      </c>
      <c r="G97" s="17" t="str">
        <f t="shared" si="5"/>
        <v/>
      </c>
      <c r="H97" s="17"/>
    </row>
    <row r="98" spans="1:8" x14ac:dyDescent="0.25">
      <c r="A98" s="16"/>
      <c r="B98" s="17"/>
      <c r="C98" s="18"/>
      <c r="D98" s="18"/>
      <c r="E98" s="18" t="str">
        <f t="shared" si="3"/>
        <v/>
      </c>
      <c r="F98" s="18" t="str">
        <f t="shared" si="4"/>
        <v/>
      </c>
      <c r="G98" s="17" t="str">
        <f t="shared" si="5"/>
        <v/>
      </c>
      <c r="H98" s="17"/>
    </row>
    <row r="99" spans="1:8" x14ac:dyDescent="0.25">
      <c r="A99" s="16"/>
      <c r="B99" s="17"/>
      <c r="C99" s="18"/>
      <c r="D99" s="18"/>
      <c r="E99" s="18" t="str">
        <f t="shared" si="3"/>
        <v/>
      </c>
      <c r="F99" s="18" t="str">
        <f t="shared" si="4"/>
        <v/>
      </c>
      <c r="G99" s="17" t="str">
        <f t="shared" si="5"/>
        <v/>
      </c>
      <c r="H99" s="17"/>
    </row>
    <row r="100" spans="1:8" x14ac:dyDescent="0.25">
      <c r="A100" s="16"/>
      <c r="B100" s="17"/>
      <c r="C100" s="18"/>
      <c r="D100" s="18"/>
      <c r="E100" s="18" t="str">
        <f t="shared" si="3"/>
        <v/>
      </c>
      <c r="F100" s="18" t="str">
        <f t="shared" si="4"/>
        <v/>
      </c>
      <c r="G100" s="17" t="str">
        <f t="shared" si="5"/>
        <v/>
      </c>
      <c r="H100" s="17"/>
    </row>
    <row r="101" spans="1:8" x14ac:dyDescent="0.25">
      <c r="A101" s="16"/>
      <c r="B101" s="17"/>
      <c r="C101" s="18"/>
      <c r="D101" s="18"/>
      <c r="E101" s="18" t="str">
        <f t="shared" si="3"/>
        <v/>
      </c>
      <c r="F101" s="18" t="str">
        <f t="shared" si="4"/>
        <v/>
      </c>
      <c r="G101" s="17" t="str">
        <f t="shared" si="5"/>
        <v/>
      </c>
      <c r="H101" s="17"/>
    </row>
    <row r="102" spans="1:8" x14ac:dyDescent="0.25">
      <c r="A102" s="16"/>
      <c r="B102" s="17"/>
      <c r="C102" s="18"/>
      <c r="D102" s="18"/>
      <c r="E102" s="18" t="str">
        <f t="shared" si="3"/>
        <v/>
      </c>
      <c r="F102" s="18" t="str">
        <f t="shared" si="4"/>
        <v/>
      </c>
      <c r="G102" s="17" t="str">
        <f t="shared" si="5"/>
        <v/>
      </c>
      <c r="H102" s="17"/>
    </row>
    <row r="103" spans="1:8" x14ac:dyDescent="0.25">
      <c r="A103" s="16"/>
      <c r="B103" s="17"/>
      <c r="C103" s="18"/>
      <c r="D103" s="18"/>
      <c r="E103" s="18" t="str">
        <f t="shared" si="3"/>
        <v/>
      </c>
      <c r="F103" s="18" t="str">
        <f t="shared" si="4"/>
        <v/>
      </c>
      <c r="G103" s="17" t="str">
        <f t="shared" si="5"/>
        <v/>
      </c>
      <c r="H103" s="17"/>
    </row>
    <row r="104" spans="1:8" x14ac:dyDescent="0.25">
      <c r="A104" s="16"/>
      <c r="B104" s="17"/>
      <c r="C104" s="18"/>
      <c r="D104" s="18"/>
      <c r="E104" s="18" t="str">
        <f t="shared" si="3"/>
        <v/>
      </c>
      <c r="F104" s="18" t="str">
        <f t="shared" si="4"/>
        <v/>
      </c>
      <c r="G104" s="17" t="str">
        <f t="shared" si="5"/>
        <v/>
      </c>
      <c r="H104" s="17"/>
    </row>
    <row r="105" spans="1:8" x14ac:dyDescent="0.25">
      <c r="A105" s="16"/>
      <c r="B105" s="17"/>
      <c r="C105" s="18"/>
      <c r="D105" s="18"/>
      <c r="E105" s="18" t="str">
        <f t="shared" si="3"/>
        <v/>
      </c>
      <c r="F105" s="18" t="str">
        <f t="shared" si="4"/>
        <v/>
      </c>
      <c r="G105" s="17" t="str">
        <f t="shared" si="5"/>
        <v/>
      </c>
      <c r="H105" s="17"/>
    </row>
    <row r="106" spans="1:8" x14ac:dyDescent="0.25">
      <c r="A106" s="16"/>
      <c r="B106" s="17"/>
      <c r="C106" s="18"/>
      <c r="D106" s="18"/>
      <c r="E106" s="18" t="str">
        <f t="shared" si="3"/>
        <v/>
      </c>
      <c r="F106" s="18" t="str">
        <f t="shared" si="4"/>
        <v/>
      </c>
      <c r="G106" s="17" t="str">
        <f t="shared" si="5"/>
        <v/>
      </c>
      <c r="H106" s="17"/>
    </row>
    <row r="107" spans="1:8" x14ac:dyDescent="0.25">
      <c r="A107" s="16"/>
      <c r="B107" s="17"/>
      <c r="C107" s="18"/>
      <c r="D107" s="18"/>
      <c r="E107" s="18" t="str">
        <f t="shared" si="3"/>
        <v/>
      </c>
      <c r="F107" s="18" t="str">
        <f t="shared" si="4"/>
        <v/>
      </c>
      <c r="G107" s="17" t="str">
        <f t="shared" si="5"/>
        <v/>
      </c>
      <c r="H107" s="17"/>
    </row>
    <row r="108" spans="1:8" x14ac:dyDescent="0.25">
      <c r="A108" s="16"/>
      <c r="B108" s="17"/>
      <c r="C108" s="18"/>
      <c r="D108" s="18"/>
      <c r="E108" s="18" t="str">
        <f t="shared" si="3"/>
        <v/>
      </c>
      <c r="F108" s="18" t="str">
        <f t="shared" si="4"/>
        <v/>
      </c>
      <c r="G108" s="17" t="str">
        <f t="shared" si="5"/>
        <v/>
      </c>
      <c r="H108" s="17"/>
    </row>
    <row r="109" spans="1:8" x14ac:dyDescent="0.25">
      <c r="A109" s="16"/>
      <c r="B109" s="17"/>
      <c r="C109" s="18"/>
      <c r="D109" s="18"/>
      <c r="E109" s="18" t="str">
        <f t="shared" si="3"/>
        <v/>
      </c>
      <c r="F109" s="18" t="str">
        <f t="shared" si="4"/>
        <v/>
      </c>
      <c r="G109" s="17" t="str">
        <f t="shared" si="5"/>
        <v/>
      </c>
      <c r="H109" s="17"/>
    </row>
    <row r="110" spans="1:8" x14ac:dyDescent="0.25">
      <c r="A110" s="16"/>
      <c r="B110" s="17"/>
      <c r="C110" s="18"/>
      <c r="D110" s="18"/>
      <c r="E110" s="18" t="str">
        <f t="shared" si="3"/>
        <v/>
      </c>
      <c r="F110" s="18" t="str">
        <f t="shared" si="4"/>
        <v/>
      </c>
      <c r="G110" s="17" t="str">
        <f t="shared" si="5"/>
        <v/>
      </c>
      <c r="H110" s="17"/>
    </row>
    <row r="111" spans="1:8" x14ac:dyDescent="0.25">
      <c r="A111" s="16"/>
      <c r="B111" s="17"/>
      <c r="C111" s="18"/>
      <c r="D111" s="18"/>
      <c r="E111" s="18" t="str">
        <f t="shared" si="3"/>
        <v/>
      </c>
      <c r="F111" s="18" t="str">
        <f t="shared" si="4"/>
        <v/>
      </c>
      <c r="G111" s="17" t="str">
        <f t="shared" si="5"/>
        <v/>
      </c>
      <c r="H111" s="17"/>
    </row>
    <row r="112" spans="1:8" x14ac:dyDescent="0.25">
      <c r="A112" s="16"/>
      <c r="B112" s="17"/>
      <c r="C112" s="18"/>
      <c r="D112" s="18"/>
      <c r="E112" s="18" t="str">
        <f t="shared" si="3"/>
        <v/>
      </c>
      <c r="F112" s="18" t="str">
        <f t="shared" si="4"/>
        <v/>
      </c>
      <c r="G112" s="17" t="str">
        <f t="shared" si="5"/>
        <v/>
      </c>
      <c r="H112" s="17"/>
    </row>
    <row r="113" spans="1:8" x14ac:dyDescent="0.25">
      <c r="A113" s="16"/>
      <c r="B113" s="17"/>
      <c r="C113" s="18"/>
      <c r="D113" s="18"/>
      <c r="E113" s="18" t="str">
        <f t="shared" si="3"/>
        <v/>
      </c>
      <c r="F113" s="18" t="str">
        <f t="shared" si="4"/>
        <v/>
      </c>
      <c r="G113" s="17" t="str">
        <f t="shared" si="5"/>
        <v/>
      </c>
      <c r="H113" s="17"/>
    </row>
    <row r="114" spans="1:8" x14ac:dyDescent="0.25">
      <c r="A114" s="16"/>
      <c r="B114" s="17"/>
      <c r="C114" s="18"/>
      <c r="D114" s="18"/>
      <c r="E114" s="18" t="str">
        <f t="shared" si="3"/>
        <v/>
      </c>
      <c r="F114" s="18" t="str">
        <f t="shared" si="4"/>
        <v/>
      </c>
      <c r="G114" s="17" t="str">
        <f t="shared" si="5"/>
        <v/>
      </c>
      <c r="H114" s="17"/>
    </row>
    <row r="115" spans="1:8" x14ac:dyDescent="0.25">
      <c r="A115" s="16"/>
      <c r="B115" s="17"/>
      <c r="C115" s="18"/>
      <c r="D115" s="18"/>
      <c r="E115" s="18" t="str">
        <f t="shared" si="3"/>
        <v/>
      </c>
      <c r="F115" s="18" t="str">
        <f t="shared" si="4"/>
        <v/>
      </c>
      <c r="G115" s="17" t="str">
        <f t="shared" si="5"/>
        <v/>
      </c>
      <c r="H115" s="17"/>
    </row>
    <row r="116" spans="1:8" x14ac:dyDescent="0.25">
      <c r="A116" s="16"/>
      <c r="B116" s="17"/>
      <c r="C116" s="18"/>
      <c r="D116" s="18"/>
      <c r="E116" s="18" t="str">
        <f t="shared" si="3"/>
        <v/>
      </c>
      <c r="F116" s="18" t="str">
        <f t="shared" si="4"/>
        <v/>
      </c>
      <c r="G116" s="17" t="str">
        <f t="shared" si="5"/>
        <v/>
      </c>
      <c r="H116" s="17"/>
    </row>
    <row r="117" spans="1:8" x14ac:dyDescent="0.25">
      <c r="A117" s="16"/>
      <c r="B117" s="17"/>
      <c r="C117" s="18"/>
      <c r="D117" s="18"/>
      <c r="E117" s="18" t="str">
        <f t="shared" si="3"/>
        <v/>
      </c>
      <c r="F117" s="18" t="str">
        <f t="shared" si="4"/>
        <v/>
      </c>
      <c r="G117" s="17" t="str">
        <f t="shared" si="5"/>
        <v/>
      </c>
      <c r="H117" s="17"/>
    </row>
    <row r="118" spans="1:8" x14ac:dyDescent="0.25">
      <c r="A118" s="16"/>
      <c r="B118" s="17"/>
      <c r="C118" s="18"/>
      <c r="D118" s="18"/>
      <c r="E118" s="18" t="str">
        <f t="shared" si="3"/>
        <v/>
      </c>
      <c r="F118" s="18" t="str">
        <f t="shared" si="4"/>
        <v/>
      </c>
      <c r="G118" s="17" t="str">
        <f t="shared" si="5"/>
        <v/>
      </c>
      <c r="H118" s="17"/>
    </row>
    <row r="119" spans="1:8" x14ac:dyDescent="0.25">
      <c r="A119" s="16"/>
      <c r="B119" s="17"/>
      <c r="C119" s="18"/>
      <c r="D119" s="18"/>
      <c r="E119" s="18" t="str">
        <f t="shared" si="3"/>
        <v/>
      </c>
      <c r="F119" s="18" t="str">
        <f t="shared" si="4"/>
        <v/>
      </c>
      <c r="G119" s="17" t="str">
        <f t="shared" si="5"/>
        <v/>
      </c>
      <c r="H119" s="17"/>
    </row>
    <row r="120" spans="1:8" x14ac:dyDescent="0.25">
      <c r="A120" s="16"/>
      <c r="B120" s="17"/>
      <c r="C120" s="18"/>
      <c r="D120" s="18"/>
      <c r="E120" s="18" t="str">
        <f t="shared" si="3"/>
        <v/>
      </c>
      <c r="F120" s="18" t="str">
        <f t="shared" si="4"/>
        <v/>
      </c>
      <c r="G120" s="17" t="str">
        <f t="shared" si="5"/>
        <v/>
      </c>
      <c r="H120" s="17"/>
    </row>
    <row r="121" spans="1:8" x14ac:dyDescent="0.25">
      <c r="A121" s="16"/>
      <c r="B121" s="17"/>
      <c r="C121" s="18"/>
      <c r="D121" s="18"/>
      <c r="E121" s="18" t="str">
        <f t="shared" si="3"/>
        <v/>
      </c>
      <c r="F121" s="18" t="str">
        <f t="shared" si="4"/>
        <v/>
      </c>
      <c r="G121" s="17" t="str">
        <f t="shared" si="5"/>
        <v/>
      </c>
      <c r="H121" s="17"/>
    </row>
    <row r="122" spans="1:8" x14ac:dyDescent="0.25">
      <c r="A122" s="16"/>
      <c r="B122" s="17"/>
      <c r="C122" s="18"/>
      <c r="D122" s="18"/>
      <c r="E122" s="18" t="str">
        <f t="shared" si="3"/>
        <v/>
      </c>
      <c r="F122" s="18" t="str">
        <f t="shared" si="4"/>
        <v/>
      </c>
      <c r="G122" s="17" t="str">
        <f t="shared" si="5"/>
        <v/>
      </c>
      <c r="H122" s="17"/>
    </row>
    <row r="123" spans="1:8" x14ac:dyDescent="0.25">
      <c r="A123" s="16"/>
      <c r="B123" s="17"/>
      <c r="C123" s="18"/>
      <c r="D123" s="18"/>
      <c r="E123" s="18" t="str">
        <f t="shared" si="3"/>
        <v/>
      </c>
      <c r="F123" s="18" t="str">
        <f t="shared" si="4"/>
        <v/>
      </c>
      <c r="G123" s="17" t="str">
        <f t="shared" si="5"/>
        <v/>
      </c>
      <c r="H123" s="17"/>
    </row>
    <row r="124" spans="1:8" x14ac:dyDescent="0.25">
      <c r="A124" s="16"/>
      <c r="B124" s="17"/>
      <c r="C124" s="18"/>
      <c r="D124" s="18"/>
      <c r="E124" s="18" t="str">
        <f t="shared" si="3"/>
        <v/>
      </c>
      <c r="F124" s="18" t="str">
        <f t="shared" si="4"/>
        <v/>
      </c>
      <c r="G124" s="17" t="str">
        <f t="shared" si="5"/>
        <v/>
      </c>
      <c r="H124" s="17"/>
    </row>
    <row r="125" spans="1:8" x14ac:dyDescent="0.25">
      <c r="A125" s="16"/>
      <c r="B125" s="17"/>
      <c r="C125" s="18"/>
      <c r="D125" s="18"/>
      <c r="E125" s="18" t="str">
        <f t="shared" si="3"/>
        <v/>
      </c>
      <c r="F125" s="18" t="str">
        <f t="shared" si="4"/>
        <v/>
      </c>
      <c r="G125" s="17" t="str">
        <f t="shared" si="5"/>
        <v/>
      </c>
      <c r="H125" s="17"/>
    </row>
    <row r="126" spans="1:8" x14ac:dyDescent="0.25">
      <c r="A126" s="16"/>
      <c r="B126" s="17"/>
      <c r="C126" s="18"/>
      <c r="D126" s="18"/>
      <c r="E126" s="18" t="str">
        <f t="shared" si="3"/>
        <v/>
      </c>
      <c r="F126" s="18" t="str">
        <f t="shared" si="4"/>
        <v/>
      </c>
      <c r="G126" s="17" t="str">
        <f t="shared" si="5"/>
        <v/>
      </c>
      <c r="H126" s="17"/>
    </row>
    <row r="127" spans="1:8" x14ac:dyDescent="0.25">
      <c r="A127" s="16"/>
      <c r="B127" s="17"/>
      <c r="C127" s="18"/>
      <c r="D127" s="18"/>
      <c r="E127" s="18" t="str">
        <f t="shared" si="3"/>
        <v/>
      </c>
      <c r="F127" s="18" t="str">
        <f t="shared" si="4"/>
        <v/>
      </c>
      <c r="G127" s="17" t="str">
        <f t="shared" si="5"/>
        <v/>
      </c>
      <c r="H127" s="17"/>
    </row>
    <row r="128" spans="1:8" x14ac:dyDescent="0.25">
      <c r="A128" s="16"/>
      <c r="B128" s="17"/>
      <c r="C128" s="18"/>
      <c r="D128" s="18"/>
      <c r="E128" s="18" t="str">
        <f t="shared" si="3"/>
        <v/>
      </c>
      <c r="F128" s="18" t="str">
        <f t="shared" si="4"/>
        <v/>
      </c>
      <c r="G128" s="17" t="str">
        <f t="shared" si="5"/>
        <v/>
      </c>
      <c r="H128" s="17"/>
    </row>
    <row r="129" spans="1:8" x14ac:dyDescent="0.25">
      <c r="A129" s="16"/>
      <c r="B129" s="17"/>
      <c r="C129" s="18"/>
      <c r="D129" s="18"/>
      <c r="E129" s="18" t="str">
        <f t="shared" si="3"/>
        <v/>
      </c>
      <c r="F129" s="18" t="str">
        <f t="shared" si="4"/>
        <v/>
      </c>
      <c r="G129" s="17" t="str">
        <f t="shared" si="5"/>
        <v/>
      </c>
      <c r="H129" s="17"/>
    </row>
    <row r="130" spans="1:8" x14ac:dyDescent="0.25">
      <c r="A130" s="16"/>
      <c r="B130" s="17"/>
      <c r="C130" s="18"/>
      <c r="D130" s="18"/>
      <c r="E130" s="18" t="str">
        <f t="shared" si="3"/>
        <v/>
      </c>
      <c r="F130" s="18" t="str">
        <f t="shared" si="4"/>
        <v/>
      </c>
      <c r="G130" s="17" t="str">
        <f t="shared" si="5"/>
        <v/>
      </c>
      <c r="H130" s="17"/>
    </row>
    <row r="131" spans="1:8" x14ac:dyDescent="0.25">
      <c r="A131" s="16"/>
      <c r="B131" s="17"/>
      <c r="C131" s="18"/>
      <c r="D131" s="18"/>
      <c r="E131" s="18" t="str">
        <f t="shared" si="3"/>
        <v/>
      </c>
      <c r="F131" s="18" t="str">
        <f t="shared" si="4"/>
        <v/>
      </c>
      <c r="G131" s="17" t="str">
        <f t="shared" si="5"/>
        <v/>
      </c>
      <c r="H131" s="17"/>
    </row>
    <row r="132" spans="1:8" x14ac:dyDescent="0.25">
      <c r="A132" s="16"/>
      <c r="B132" s="17"/>
      <c r="C132" s="18"/>
      <c r="D132" s="18"/>
      <c r="E132" s="18" t="str">
        <f t="shared" si="3"/>
        <v/>
      </c>
      <c r="F132" s="18" t="str">
        <f t="shared" si="4"/>
        <v/>
      </c>
      <c r="G132" s="17" t="str">
        <f t="shared" si="5"/>
        <v/>
      </c>
      <c r="H132" s="17"/>
    </row>
    <row r="133" spans="1:8" x14ac:dyDescent="0.25">
      <c r="A133" s="16"/>
      <c r="B133" s="17"/>
      <c r="C133" s="18"/>
      <c r="D133" s="18"/>
      <c r="E133" s="18" t="str">
        <f t="shared" ref="E133:E196" si="6">IF(B133="","",SUM(C133:D133))</f>
        <v/>
      </c>
      <c r="F133" s="18" t="str">
        <f t="shared" ref="F133:F196" si="7">IF(B133="","",C133*5+D133*10)</f>
        <v/>
      </c>
      <c r="G133" s="17" t="str">
        <f t="shared" ref="G133:G196" si="8">IF(B133="","",IF(E133=0,"AGOTADO",IF(E133&lt;=3,"POCO STOCK","DISPONIBLE")))</f>
        <v/>
      </c>
      <c r="H133" s="17"/>
    </row>
    <row r="134" spans="1:8" x14ac:dyDescent="0.25">
      <c r="A134" s="16"/>
      <c r="B134" s="17"/>
      <c r="C134" s="18"/>
      <c r="D134" s="18"/>
      <c r="E134" s="18" t="str">
        <f t="shared" si="6"/>
        <v/>
      </c>
      <c r="F134" s="18" t="str">
        <f t="shared" si="7"/>
        <v/>
      </c>
      <c r="G134" s="17" t="str">
        <f t="shared" si="8"/>
        <v/>
      </c>
      <c r="H134" s="17"/>
    </row>
    <row r="135" spans="1:8" x14ac:dyDescent="0.25">
      <c r="A135" s="16"/>
      <c r="B135" s="17"/>
      <c r="C135" s="18"/>
      <c r="D135" s="18"/>
      <c r="E135" s="18" t="str">
        <f t="shared" si="6"/>
        <v/>
      </c>
      <c r="F135" s="18" t="str">
        <f t="shared" si="7"/>
        <v/>
      </c>
      <c r="G135" s="17" t="str">
        <f t="shared" si="8"/>
        <v/>
      </c>
      <c r="H135" s="17"/>
    </row>
    <row r="136" spans="1:8" x14ac:dyDescent="0.25">
      <c r="A136" s="16"/>
      <c r="B136" s="17"/>
      <c r="C136" s="18"/>
      <c r="D136" s="18"/>
      <c r="E136" s="18" t="str">
        <f t="shared" si="6"/>
        <v/>
      </c>
      <c r="F136" s="18" t="str">
        <f t="shared" si="7"/>
        <v/>
      </c>
      <c r="G136" s="17" t="str">
        <f t="shared" si="8"/>
        <v/>
      </c>
      <c r="H136" s="17"/>
    </row>
    <row r="137" spans="1:8" x14ac:dyDescent="0.25">
      <c r="A137" s="16"/>
      <c r="B137" s="17"/>
      <c r="C137" s="18"/>
      <c r="D137" s="18"/>
      <c r="E137" s="18" t="str">
        <f t="shared" si="6"/>
        <v/>
      </c>
      <c r="F137" s="18" t="str">
        <f t="shared" si="7"/>
        <v/>
      </c>
      <c r="G137" s="17" t="str">
        <f t="shared" si="8"/>
        <v/>
      </c>
      <c r="H137" s="17"/>
    </row>
    <row r="138" spans="1:8" x14ac:dyDescent="0.25">
      <c r="A138" s="16"/>
      <c r="B138" s="17"/>
      <c r="C138" s="18"/>
      <c r="D138" s="18"/>
      <c r="E138" s="18" t="str">
        <f t="shared" si="6"/>
        <v/>
      </c>
      <c r="F138" s="18" t="str">
        <f t="shared" si="7"/>
        <v/>
      </c>
      <c r="G138" s="17" t="str">
        <f t="shared" si="8"/>
        <v/>
      </c>
      <c r="H138" s="17"/>
    </row>
    <row r="139" spans="1:8" x14ac:dyDescent="0.25">
      <c r="A139" s="16"/>
      <c r="B139" s="17"/>
      <c r="C139" s="18"/>
      <c r="D139" s="18"/>
      <c r="E139" s="18" t="str">
        <f t="shared" si="6"/>
        <v/>
      </c>
      <c r="F139" s="18" t="str">
        <f t="shared" si="7"/>
        <v/>
      </c>
      <c r="G139" s="17" t="str">
        <f t="shared" si="8"/>
        <v/>
      </c>
      <c r="H139" s="17"/>
    </row>
    <row r="140" spans="1:8" x14ac:dyDescent="0.25">
      <c r="A140" s="16"/>
      <c r="B140" s="17"/>
      <c r="C140" s="18"/>
      <c r="D140" s="18"/>
      <c r="E140" s="18" t="str">
        <f t="shared" si="6"/>
        <v/>
      </c>
      <c r="F140" s="18" t="str">
        <f t="shared" si="7"/>
        <v/>
      </c>
      <c r="G140" s="17" t="str">
        <f t="shared" si="8"/>
        <v/>
      </c>
      <c r="H140" s="17"/>
    </row>
    <row r="141" spans="1:8" x14ac:dyDescent="0.25">
      <c r="A141" s="16"/>
      <c r="B141" s="17"/>
      <c r="C141" s="18"/>
      <c r="D141" s="18"/>
      <c r="E141" s="18" t="str">
        <f t="shared" si="6"/>
        <v/>
      </c>
      <c r="F141" s="18" t="str">
        <f t="shared" si="7"/>
        <v/>
      </c>
      <c r="G141" s="17" t="str">
        <f t="shared" si="8"/>
        <v/>
      </c>
      <c r="H141" s="17"/>
    </row>
    <row r="142" spans="1:8" x14ac:dyDescent="0.25">
      <c r="A142" s="16"/>
      <c r="B142" s="17"/>
      <c r="C142" s="18"/>
      <c r="D142" s="18"/>
      <c r="E142" s="18" t="str">
        <f t="shared" si="6"/>
        <v/>
      </c>
      <c r="F142" s="18" t="str">
        <f t="shared" si="7"/>
        <v/>
      </c>
      <c r="G142" s="17" t="str">
        <f t="shared" si="8"/>
        <v/>
      </c>
      <c r="H142" s="17"/>
    </row>
    <row r="143" spans="1:8" x14ac:dyDescent="0.25">
      <c r="A143" s="16"/>
      <c r="B143" s="17"/>
      <c r="C143" s="18"/>
      <c r="D143" s="18"/>
      <c r="E143" s="18" t="str">
        <f t="shared" si="6"/>
        <v/>
      </c>
      <c r="F143" s="18" t="str">
        <f t="shared" si="7"/>
        <v/>
      </c>
      <c r="G143" s="17" t="str">
        <f t="shared" si="8"/>
        <v/>
      </c>
      <c r="H143" s="17"/>
    </row>
    <row r="144" spans="1:8" x14ac:dyDescent="0.25">
      <c r="A144" s="16"/>
      <c r="B144" s="17"/>
      <c r="C144" s="18"/>
      <c r="D144" s="18"/>
      <c r="E144" s="18" t="str">
        <f t="shared" si="6"/>
        <v/>
      </c>
      <c r="F144" s="18" t="str">
        <f t="shared" si="7"/>
        <v/>
      </c>
      <c r="G144" s="17" t="str">
        <f t="shared" si="8"/>
        <v/>
      </c>
      <c r="H144" s="17"/>
    </row>
    <row r="145" spans="1:8" x14ac:dyDescent="0.25">
      <c r="A145" s="16"/>
      <c r="B145" s="17"/>
      <c r="C145" s="18"/>
      <c r="D145" s="18"/>
      <c r="E145" s="18" t="str">
        <f t="shared" si="6"/>
        <v/>
      </c>
      <c r="F145" s="18" t="str">
        <f t="shared" si="7"/>
        <v/>
      </c>
      <c r="G145" s="17" t="str">
        <f t="shared" si="8"/>
        <v/>
      </c>
      <c r="H145" s="17"/>
    </row>
    <row r="146" spans="1:8" x14ac:dyDescent="0.25">
      <c r="A146" s="16"/>
      <c r="B146" s="17"/>
      <c r="C146" s="18"/>
      <c r="D146" s="18"/>
      <c r="E146" s="18" t="str">
        <f t="shared" si="6"/>
        <v/>
      </c>
      <c r="F146" s="18" t="str">
        <f t="shared" si="7"/>
        <v/>
      </c>
      <c r="G146" s="17" t="str">
        <f t="shared" si="8"/>
        <v/>
      </c>
      <c r="H146" s="17"/>
    </row>
    <row r="147" spans="1:8" x14ac:dyDescent="0.25">
      <c r="A147" s="16"/>
      <c r="B147" s="17"/>
      <c r="C147" s="18"/>
      <c r="D147" s="18"/>
      <c r="E147" s="18" t="str">
        <f t="shared" si="6"/>
        <v/>
      </c>
      <c r="F147" s="18" t="str">
        <f t="shared" si="7"/>
        <v/>
      </c>
      <c r="G147" s="17" t="str">
        <f t="shared" si="8"/>
        <v/>
      </c>
      <c r="H147" s="17"/>
    </row>
    <row r="148" spans="1:8" x14ac:dyDescent="0.25">
      <c r="A148" s="16"/>
      <c r="B148" s="17"/>
      <c r="C148" s="18"/>
      <c r="D148" s="18"/>
      <c r="E148" s="18" t="str">
        <f t="shared" si="6"/>
        <v/>
      </c>
      <c r="F148" s="18" t="str">
        <f t="shared" si="7"/>
        <v/>
      </c>
      <c r="G148" s="17" t="str">
        <f t="shared" si="8"/>
        <v/>
      </c>
      <c r="H148" s="17"/>
    </row>
    <row r="149" spans="1:8" x14ac:dyDescent="0.25">
      <c r="A149" s="16"/>
      <c r="B149" s="17"/>
      <c r="C149" s="18"/>
      <c r="D149" s="18"/>
      <c r="E149" s="18" t="str">
        <f t="shared" si="6"/>
        <v/>
      </c>
      <c r="F149" s="18" t="str">
        <f t="shared" si="7"/>
        <v/>
      </c>
      <c r="G149" s="17" t="str">
        <f t="shared" si="8"/>
        <v/>
      </c>
      <c r="H149" s="17"/>
    </row>
    <row r="150" spans="1:8" x14ac:dyDescent="0.25">
      <c r="A150" s="16"/>
      <c r="B150" s="17"/>
      <c r="C150" s="18"/>
      <c r="D150" s="18"/>
      <c r="E150" s="18" t="str">
        <f t="shared" si="6"/>
        <v/>
      </c>
      <c r="F150" s="18" t="str">
        <f t="shared" si="7"/>
        <v/>
      </c>
      <c r="G150" s="17" t="str">
        <f t="shared" si="8"/>
        <v/>
      </c>
      <c r="H150" s="17"/>
    </row>
    <row r="151" spans="1:8" x14ac:dyDescent="0.25">
      <c r="A151" s="16"/>
      <c r="B151" s="17"/>
      <c r="C151" s="18"/>
      <c r="D151" s="18"/>
      <c r="E151" s="18" t="str">
        <f t="shared" si="6"/>
        <v/>
      </c>
      <c r="F151" s="18" t="str">
        <f t="shared" si="7"/>
        <v/>
      </c>
      <c r="G151" s="17" t="str">
        <f t="shared" si="8"/>
        <v/>
      </c>
      <c r="H151" s="17"/>
    </row>
    <row r="152" spans="1:8" x14ac:dyDescent="0.25">
      <c r="A152" s="16"/>
      <c r="B152" s="17"/>
      <c r="C152" s="18"/>
      <c r="D152" s="18"/>
      <c r="E152" s="18" t="str">
        <f t="shared" si="6"/>
        <v/>
      </c>
      <c r="F152" s="18" t="str">
        <f t="shared" si="7"/>
        <v/>
      </c>
      <c r="G152" s="17" t="str">
        <f t="shared" si="8"/>
        <v/>
      </c>
      <c r="H152" s="17"/>
    </row>
    <row r="153" spans="1:8" x14ac:dyDescent="0.25">
      <c r="A153" s="16"/>
      <c r="B153" s="17"/>
      <c r="C153" s="18"/>
      <c r="D153" s="18"/>
      <c r="E153" s="18" t="str">
        <f t="shared" si="6"/>
        <v/>
      </c>
      <c r="F153" s="18" t="str">
        <f t="shared" si="7"/>
        <v/>
      </c>
      <c r="G153" s="17" t="str">
        <f t="shared" si="8"/>
        <v/>
      </c>
      <c r="H153" s="17"/>
    </row>
    <row r="154" spans="1:8" x14ac:dyDescent="0.25">
      <c r="A154" s="16"/>
      <c r="B154" s="17"/>
      <c r="C154" s="18"/>
      <c r="D154" s="18"/>
      <c r="E154" s="18" t="str">
        <f t="shared" si="6"/>
        <v/>
      </c>
      <c r="F154" s="18" t="str">
        <f t="shared" si="7"/>
        <v/>
      </c>
      <c r="G154" s="17" t="str">
        <f t="shared" si="8"/>
        <v/>
      </c>
      <c r="H154" s="17"/>
    </row>
    <row r="155" spans="1:8" x14ac:dyDescent="0.25">
      <c r="A155" s="16"/>
      <c r="B155" s="17"/>
      <c r="C155" s="18"/>
      <c r="D155" s="18"/>
      <c r="E155" s="18" t="str">
        <f t="shared" si="6"/>
        <v/>
      </c>
      <c r="F155" s="18" t="str">
        <f t="shared" si="7"/>
        <v/>
      </c>
      <c r="G155" s="17" t="str">
        <f t="shared" si="8"/>
        <v/>
      </c>
      <c r="H155" s="17"/>
    </row>
    <row r="156" spans="1:8" x14ac:dyDescent="0.25">
      <c r="A156" s="16"/>
      <c r="B156" s="17"/>
      <c r="C156" s="18"/>
      <c r="D156" s="18"/>
      <c r="E156" s="18" t="str">
        <f t="shared" si="6"/>
        <v/>
      </c>
      <c r="F156" s="18" t="str">
        <f t="shared" si="7"/>
        <v/>
      </c>
      <c r="G156" s="17" t="str">
        <f t="shared" si="8"/>
        <v/>
      </c>
      <c r="H156" s="17"/>
    </row>
    <row r="157" spans="1:8" x14ac:dyDescent="0.25">
      <c r="A157" s="16"/>
      <c r="B157" s="17"/>
      <c r="C157" s="18"/>
      <c r="D157" s="18"/>
      <c r="E157" s="18" t="str">
        <f t="shared" si="6"/>
        <v/>
      </c>
      <c r="F157" s="18" t="str">
        <f t="shared" si="7"/>
        <v/>
      </c>
      <c r="G157" s="17" t="str">
        <f t="shared" si="8"/>
        <v/>
      </c>
      <c r="H157" s="17"/>
    </row>
    <row r="158" spans="1:8" x14ac:dyDescent="0.25">
      <c r="A158" s="16"/>
      <c r="B158" s="17"/>
      <c r="C158" s="18"/>
      <c r="D158" s="18"/>
      <c r="E158" s="18" t="str">
        <f t="shared" si="6"/>
        <v/>
      </c>
      <c r="F158" s="18" t="str">
        <f t="shared" si="7"/>
        <v/>
      </c>
      <c r="G158" s="17" t="str">
        <f t="shared" si="8"/>
        <v/>
      </c>
      <c r="H158" s="17"/>
    </row>
    <row r="159" spans="1:8" x14ac:dyDescent="0.25">
      <c r="A159" s="16"/>
      <c r="B159" s="17"/>
      <c r="C159" s="18"/>
      <c r="D159" s="18"/>
      <c r="E159" s="18" t="str">
        <f t="shared" si="6"/>
        <v/>
      </c>
      <c r="F159" s="18" t="str">
        <f t="shared" si="7"/>
        <v/>
      </c>
      <c r="G159" s="17" t="str">
        <f t="shared" si="8"/>
        <v/>
      </c>
      <c r="H159" s="17"/>
    </row>
    <row r="160" spans="1:8" x14ac:dyDescent="0.25">
      <c r="A160" s="16"/>
      <c r="B160" s="17"/>
      <c r="C160" s="18"/>
      <c r="D160" s="18"/>
      <c r="E160" s="18" t="str">
        <f t="shared" si="6"/>
        <v/>
      </c>
      <c r="F160" s="18" t="str">
        <f t="shared" si="7"/>
        <v/>
      </c>
      <c r="G160" s="17" t="str">
        <f t="shared" si="8"/>
        <v/>
      </c>
      <c r="H160" s="17"/>
    </row>
    <row r="161" spans="1:8" x14ac:dyDescent="0.25">
      <c r="A161" s="16"/>
      <c r="B161" s="17"/>
      <c r="C161" s="18"/>
      <c r="D161" s="18"/>
      <c r="E161" s="18" t="str">
        <f t="shared" si="6"/>
        <v/>
      </c>
      <c r="F161" s="18" t="str">
        <f t="shared" si="7"/>
        <v/>
      </c>
      <c r="G161" s="17" t="str">
        <f t="shared" si="8"/>
        <v/>
      </c>
      <c r="H161" s="17"/>
    </row>
    <row r="162" spans="1:8" x14ac:dyDescent="0.25">
      <c r="A162" s="16"/>
      <c r="B162" s="17"/>
      <c r="C162" s="18"/>
      <c r="D162" s="18"/>
      <c r="E162" s="18" t="str">
        <f t="shared" si="6"/>
        <v/>
      </c>
      <c r="F162" s="18" t="str">
        <f t="shared" si="7"/>
        <v/>
      </c>
      <c r="G162" s="17" t="str">
        <f t="shared" si="8"/>
        <v/>
      </c>
      <c r="H162" s="17"/>
    </row>
    <row r="163" spans="1:8" x14ac:dyDescent="0.25">
      <c r="A163" s="16"/>
      <c r="B163" s="17"/>
      <c r="C163" s="18"/>
      <c r="D163" s="18"/>
      <c r="E163" s="18" t="str">
        <f t="shared" si="6"/>
        <v/>
      </c>
      <c r="F163" s="18" t="str">
        <f t="shared" si="7"/>
        <v/>
      </c>
      <c r="G163" s="17" t="str">
        <f t="shared" si="8"/>
        <v/>
      </c>
      <c r="H163" s="17"/>
    </row>
    <row r="164" spans="1:8" x14ac:dyDescent="0.25">
      <c r="A164" s="16"/>
      <c r="B164" s="17"/>
      <c r="C164" s="18"/>
      <c r="D164" s="18"/>
      <c r="E164" s="18" t="str">
        <f t="shared" si="6"/>
        <v/>
      </c>
      <c r="F164" s="18" t="str">
        <f t="shared" si="7"/>
        <v/>
      </c>
      <c r="G164" s="17" t="str">
        <f t="shared" si="8"/>
        <v/>
      </c>
      <c r="H164" s="17"/>
    </row>
    <row r="165" spans="1:8" x14ac:dyDescent="0.25">
      <c r="A165" s="16"/>
      <c r="B165" s="17"/>
      <c r="C165" s="18"/>
      <c r="D165" s="18"/>
      <c r="E165" s="18" t="str">
        <f t="shared" si="6"/>
        <v/>
      </c>
      <c r="F165" s="18" t="str">
        <f t="shared" si="7"/>
        <v/>
      </c>
      <c r="G165" s="17" t="str">
        <f t="shared" si="8"/>
        <v/>
      </c>
      <c r="H165" s="17"/>
    </row>
    <row r="166" spans="1:8" x14ac:dyDescent="0.25">
      <c r="A166" s="16"/>
      <c r="B166" s="17"/>
      <c r="C166" s="18"/>
      <c r="D166" s="18"/>
      <c r="E166" s="18" t="str">
        <f t="shared" si="6"/>
        <v/>
      </c>
      <c r="F166" s="18" t="str">
        <f t="shared" si="7"/>
        <v/>
      </c>
      <c r="G166" s="17" t="str">
        <f t="shared" si="8"/>
        <v/>
      </c>
      <c r="H166" s="17"/>
    </row>
    <row r="167" spans="1:8" x14ac:dyDescent="0.25">
      <c r="A167" s="16"/>
      <c r="B167" s="17"/>
      <c r="C167" s="18"/>
      <c r="D167" s="18"/>
      <c r="E167" s="18" t="str">
        <f t="shared" si="6"/>
        <v/>
      </c>
      <c r="F167" s="18" t="str">
        <f t="shared" si="7"/>
        <v/>
      </c>
      <c r="G167" s="17" t="str">
        <f t="shared" si="8"/>
        <v/>
      </c>
      <c r="H167" s="17"/>
    </row>
    <row r="168" spans="1:8" x14ac:dyDescent="0.25">
      <c r="A168" s="16"/>
      <c r="B168" s="17"/>
      <c r="C168" s="18"/>
      <c r="D168" s="18"/>
      <c r="E168" s="18" t="str">
        <f t="shared" si="6"/>
        <v/>
      </c>
      <c r="F168" s="18" t="str">
        <f t="shared" si="7"/>
        <v/>
      </c>
      <c r="G168" s="17" t="str">
        <f t="shared" si="8"/>
        <v/>
      </c>
      <c r="H168" s="17"/>
    </row>
    <row r="169" spans="1:8" x14ac:dyDescent="0.25">
      <c r="A169" s="16"/>
      <c r="B169" s="17"/>
      <c r="C169" s="18"/>
      <c r="D169" s="18"/>
      <c r="E169" s="18" t="str">
        <f t="shared" si="6"/>
        <v/>
      </c>
      <c r="F169" s="18" t="str">
        <f t="shared" si="7"/>
        <v/>
      </c>
      <c r="G169" s="17" t="str">
        <f t="shared" si="8"/>
        <v/>
      </c>
      <c r="H169" s="17"/>
    </row>
    <row r="170" spans="1:8" x14ac:dyDescent="0.25">
      <c r="A170" s="16"/>
      <c r="B170" s="17"/>
      <c r="C170" s="18"/>
      <c r="D170" s="18"/>
      <c r="E170" s="18" t="str">
        <f t="shared" si="6"/>
        <v/>
      </c>
      <c r="F170" s="18" t="str">
        <f t="shared" si="7"/>
        <v/>
      </c>
      <c r="G170" s="17" t="str">
        <f t="shared" si="8"/>
        <v/>
      </c>
      <c r="H170" s="17"/>
    </row>
    <row r="171" spans="1:8" x14ac:dyDescent="0.25">
      <c r="A171" s="16"/>
      <c r="B171" s="17"/>
      <c r="C171" s="18"/>
      <c r="D171" s="18"/>
      <c r="E171" s="18" t="str">
        <f t="shared" si="6"/>
        <v/>
      </c>
      <c r="F171" s="18" t="str">
        <f t="shared" si="7"/>
        <v/>
      </c>
      <c r="G171" s="17" t="str">
        <f t="shared" si="8"/>
        <v/>
      </c>
      <c r="H171" s="17"/>
    </row>
    <row r="172" spans="1:8" x14ac:dyDescent="0.25">
      <c r="A172" s="16"/>
      <c r="B172" s="17"/>
      <c r="C172" s="18"/>
      <c r="D172" s="18"/>
      <c r="E172" s="18" t="str">
        <f t="shared" si="6"/>
        <v/>
      </c>
      <c r="F172" s="18" t="str">
        <f t="shared" si="7"/>
        <v/>
      </c>
      <c r="G172" s="17" t="str">
        <f t="shared" si="8"/>
        <v/>
      </c>
      <c r="H172" s="17"/>
    </row>
    <row r="173" spans="1:8" x14ac:dyDescent="0.25">
      <c r="A173" s="16"/>
      <c r="B173" s="17"/>
      <c r="C173" s="18"/>
      <c r="D173" s="18"/>
      <c r="E173" s="18" t="str">
        <f t="shared" si="6"/>
        <v/>
      </c>
      <c r="F173" s="18" t="str">
        <f t="shared" si="7"/>
        <v/>
      </c>
      <c r="G173" s="17" t="str">
        <f t="shared" si="8"/>
        <v/>
      </c>
      <c r="H173" s="17"/>
    </row>
    <row r="174" spans="1:8" x14ac:dyDescent="0.25">
      <c r="A174" s="16"/>
      <c r="B174" s="17"/>
      <c r="C174" s="18"/>
      <c r="D174" s="18"/>
      <c r="E174" s="18" t="str">
        <f t="shared" si="6"/>
        <v/>
      </c>
      <c r="F174" s="18" t="str">
        <f t="shared" si="7"/>
        <v/>
      </c>
      <c r="G174" s="17" t="str">
        <f t="shared" si="8"/>
        <v/>
      </c>
      <c r="H174" s="17"/>
    </row>
    <row r="175" spans="1:8" x14ac:dyDescent="0.25">
      <c r="A175" s="16"/>
      <c r="B175" s="17"/>
      <c r="C175" s="18"/>
      <c r="D175" s="18"/>
      <c r="E175" s="18" t="str">
        <f t="shared" si="6"/>
        <v/>
      </c>
      <c r="F175" s="18" t="str">
        <f t="shared" si="7"/>
        <v/>
      </c>
      <c r="G175" s="17" t="str">
        <f t="shared" si="8"/>
        <v/>
      </c>
      <c r="H175" s="17"/>
    </row>
    <row r="176" spans="1:8" x14ac:dyDescent="0.25">
      <c r="A176" s="16"/>
      <c r="B176" s="17"/>
      <c r="C176" s="18"/>
      <c r="D176" s="18"/>
      <c r="E176" s="18" t="str">
        <f t="shared" si="6"/>
        <v/>
      </c>
      <c r="F176" s="18" t="str">
        <f t="shared" si="7"/>
        <v/>
      </c>
      <c r="G176" s="17" t="str">
        <f t="shared" si="8"/>
        <v/>
      </c>
      <c r="H176" s="17"/>
    </row>
    <row r="177" spans="1:8" x14ac:dyDescent="0.25">
      <c r="A177" s="16"/>
      <c r="B177" s="17"/>
      <c r="C177" s="18"/>
      <c r="D177" s="18"/>
      <c r="E177" s="18" t="str">
        <f t="shared" si="6"/>
        <v/>
      </c>
      <c r="F177" s="18" t="str">
        <f t="shared" si="7"/>
        <v/>
      </c>
      <c r="G177" s="17" t="str">
        <f t="shared" si="8"/>
        <v/>
      </c>
      <c r="H177" s="17"/>
    </row>
    <row r="178" spans="1:8" x14ac:dyDescent="0.25">
      <c r="A178" s="16"/>
      <c r="B178" s="17"/>
      <c r="C178" s="18"/>
      <c r="D178" s="18"/>
      <c r="E178" s="18" t="str">
        <f t="shared" si="6"/>
        <v/>
      </c>
      <c r="F178" s="18" t="str">
        <f t="shared" si="7"/>
        <v/>
      </c>
      <c r="G178" s="17" t="str">
        <f t="shared" si="8"/>
        <v/>
      </c>
      <c r="H178" s="17"/>
    </row>
    <row r="179" spans="1:8" x14ac:dyDescent="0.25">
      <c r="A179" s="16"/>
      <c r="B179" s="17"/>
      <c r="C179" s="18"/>
      <c r="D179" s="18"/>
      <c r="E179" s="18" t="str">
        <f t="shared" si="6"/>
        <v/>
      </c>
      <c r="F179" s="18" t="str">
        <f t="shared" si="7"/>
        <v/>
      </c>
      <c r="G179" s="17" t="str">
        <f t="shared" si="8"/>
        <v/>
      </c>
      <c r="H179" s="17"/>
    </row>
    <row r="180" spans="1:8" x14ac:dyDescent="0.25">
      <c r="A180" s="16"/>
      <c r="B180" s="17"/>
      <c r="C180" s="18"/>
      <c r="D180" s="18"/>
      <c r="E180" s="18" t="str">
        <f t="shared" si="6"/>
        <v/>
      </c>
      <c r="F180" s="18" t="str">
        <f t="shared" si="7"/>
        <v/>
      </c>
      <c r="G180" s="17" t="str">
        <f t="shared" si="8"/>
        <v/>
      </c>
      <c r="H180" s="17"/>
    </row>
    <row r="181" spans="1:8" x14ac:dyDescent="0.25">
      <c r="A181" s="16"/>
      <c r="B181" s="17"/>
      <c r="C181" s="18"/>
      <c r="D181" s="18"/>
      <c r="E181" s="18" t="str">
        <f t="shared" si="6"/>
        <v/>
      </c>
      <c r="F181" s="18" t="str">
        <f t="shared" si="7"/>
        <v/>
      </c>
      <c r="G181" s="17" t="str">
        <f t="shared" si="8"/>
        <v/>
      </c>
      <c r="H181" s="17"/>
    </row>
    <row r="182" spans="1:8" x14ac:dyDescent="0.25">
      <c r="A182" s="16"/>
      <c r="B182" s="17"/>
      <c r="C182" s="18"/>
      <c r="D182" s="18"/>
      <c r="E182" s="18" t="str">
        <f t="shared" si="6"/>
        <v/>
      </c>
      <c r="F182" s="18" t="str">
        <f t="shared" si="7"/>
        <v/>
      </c>
      <c r="G182" s="17" t="str">
        <f t="shared" si="8"/>
        <v/>
      </c>
      <c r="H182" s="17"/>
    </row>
    <row r="183" spans="1:8" x14ac:dyDescent="0.25">
      <c r="A183" s="16"/>
      <c r="B183" s="17"/>
      <c r="C183" s="18"/>
      <c r="D183" s="18"/>
      <c r="E183" s="18" t="str">
        <f t="shared" si="6"/>
        <v/>
      </c>
      <c r="F183" s="18" t="str">
        <f t="shared" si="7"/>
        <v/>
      </c>
      <c r="G183" s="17" t="str">
        <f t="shared" si="8"/>
        <v/>
      </c>
      <c r="H183" s="17"/>
    </row>
    <row r="184" spans="1:8" x14ac:dyDescent="0.25">
      <c r="A184" s="16"/>
      <c r="B184" s="17"/>
      <c r="C184" s="18"/>
      <c r="D184" s="18"/>
      <c r="E184" s="18" t="str">
        <f t="shared" si="6"/>
        <v/>
      </c>
      <c r="F184" s="18" t="str">
        <f t="shared" si="7"/>
        <v/>
      </c>
      <c r="G184" s="17" t="str">
        <f t="shared" si="8"/>
        <v/>
      </c>
      <c r="H184" s="17"/>
    </row>
    <row r="185" spans="1:8" x14ac:dyDescent="0.25">
      <c r="A185" s="16"/>
      <c r="B185" s="17"/>
      <c r="C185" s="18"/>
      <c r="D185" s="18"/>
      <c r="E185" s="18" t="str">
        <f t="shared" si="6"/>
        <v/>
      </c>
      <c r="F185" s="18" t="str">
        <f t="shared" si="7"/>
        <v/>
      </c>
      <c r="G185" s="17" t="str">
        <f t="shared" si="8"/>
        <v/>
      </c>
      <c r="H185" s="17"/>
    </row>
    <row r="186" spans="1:8" x14ac:dyDescent="0.25">
      <c r="A186" s="16"/>
      <c r="B186" s="17"/>
      <c r="C186" s="18"/>
      <c r="D186" s="18"/>
      <c r="E186" s="18" t="str">
        <f t="shared" si="6"/>
        <v/>
      </c>
      <c r="F186" s="18" t="str">
        <f t="shared" si="7"/>
        <v/>
      </c>
      <c r="G186" s="17" t="str">
        <f t="shared" si="8"/>
        <v/>
      </c>
      <c r="H186" s="17"/>
    </row>
    <row r="187" spans="1:8" x14ac:dyDescent="0.25">
      <c r="A187" s="16"/>
      <c r="B187" s="17"/>
      <c r="C187" s="18"/>
      <c r="D187" s="18"/>
      <c r="E187" s="18" t="str">
        <f t="shared" si="6"/>
        <v/>
      </c>
      <c r="F187" s="18" t="str">
        <f t="shared" si="7"/>
        <v/>
      </c>
      <c r="G187" s="17" t="str">
        <f t="shared" si="8"/>
        <v/>
      </c>
      <c r="H187" s="17"/>
    </row>
    <row r="188" spans="1:8" x14ac:dyDescent="0.25">
      <c r="A188" s="16"/>
      <c r="B188" s="17"/>
      <c r="C188" s="18"/>
      <c r="D188" s="18"/>
      <c r="E188" s="18" t="str">
        <f t="shared" si="6"/>
        <v/>
      </c>
      <c r="F188" s="18" t="str">
        <f t="shared" si="7"/>
        <v/>
      </c>
      <c r="G188" s="17" t="str">
        <f t="shared" si="8"/>
        <v/>
      </c>
      <c r="H188" s="17"/>
    </row>
    <row r="189" spans="1:8" x14ac:dyDescent="0.25">
      <c r="A189" s="16"/>
      <c r="B189" s="17"/>
      <c r="C189" s="18"/>
      <c r="D189" s="18"/>
      <c r="E189" s="18" t="str">
        <f t="shared" si="6"/>
        <v/>
      </c>
      <c r="F189" s="18" t="str">
        <f t="shared" si="7"/>
        <v/>
      </c>
      <c r="G189" s="17" t="str">
        <f t="shared" si="8"/>
        <v/>
      </c>
      <c r="H189" s="17"/>
    </row>
    <row r="190" spans="1:8" x14ac:dyDescent="0.25">
      <c r="A190" s="16"/>
      <c r="B190" s="17"/>
      <c r="C190" s="18"/>
      <c r="D190" s="18"/>
      <c r="E190" s="18" t="str">
        <f t="shared" si="6"/>
        <v/>
      </c>
      <c r="F190" s="18" t="str">
        <f t="shared" si="7"/>
        <v/>
      </c>
      <c r="G190" s="17" t="str">
        <f t="shared" si="8"/>
        <v/>
      </c>
      <c r="H190" s="17"/>
    </row>
    <row r="191" spans="1:8" x14ac:dyDescent="0.25">
      <c r="A191" s="16"/>
      <c r="B191" s="17"/>
      <c r="C191" s="18"/>
      <c r="D191" s="18"/>
      <c r="E191" s="18" t="str">
        <f t="shared" si="6"/>
        <v/>
      </c>
      <c r="F191" s="18" t="str">
        <f t="shared" si="7"/>
        <v/>
      </c>
      <c r="G191" s="17" t="str">
        <f t="shared" si="8"/>
        <v/>
      </c>
      <c r="H191" s="17"/>
    </row>
    <row r="192" spans="1:8" x14ac:dyDescent="0.25">
      <c r="A192" s="16"/>
      <c r="B192" s="17"/>
      <c r="C192" s="18"/>
      <c r="D192" s="18"/>
      <c r="E192" s="18" t="str">
        <f t="shared" si="6"/>
        <v/>
      </c>
      <c r="F192" s="18" t="str">
        <f t="shared" si="7"/>
        <v/>
      </c>
      <c r="G192" s="17" t="str">
        <f t="shared" si="8"/>
        <v/>
      </c>
      <c r="H192" s="17"/>
    </row>
    <row r="193" spans="1:8" x14ac:dyDescent="0.25">
      <c r="A193" s="16"/>
      <c r="B193" s="17"/>
      <c r="C193" s="18"/>
      <c r="D193" s="18"/>
      <c r="E193" s="18" t="str">
        <f t="shared" si="6"/>
        <v/>
      </c>
      <c r="F193" s="18" t="str">
        <f t="shared" si="7"/>
        <v/>
      </c>
      <c r="G193" s="17" t="str">
        <f t="shared" si="8"/>
        <v/>
      </c>
      <c r="H193" s="17"/>
    </row>
    <row r="194" spans="1:8" x14ac:dyDescent="0.25">
      <c r="A194" s="16"/>
      <c r="B194" s="17"/>
      <c r="C194" s="18"/>
      <c r="D194" s="18"/>
      <c r="E194" s="18" t="str">
        <f t="shared" si="6"/>
        <v/>
      </c>
      <c r="F194" s="18" t="str">
        <f t="shared" si="7"/>
        <v/>
      </c>
      <c r="G194" s="17" t="str">
        <f t="shared" si="8"/>
        <v/>
      </c>
      <c r="H194" s="17"/>
    </row>
    <row r="195" spans="1:8" x14ac:dyDescent="0.25">
      <c r="A195" s="16"/>
      <c r="B195" s="17"/>
      <c r="C195" s="18"/>
      <c r="D195" s="18"/>
      <c r="E195" s="18" t="str">
        <f t="shared" si="6"/>
        <v/>
      </c>
      <c r="F195" s="18" t="str">
        <f t="shared" si="7"/>
        <v/>
      </c>
      <c r="G195" s="17" t="str">
        <f t="shared" si="8"/>
        <v/>
      </c>
      <c r="H195" s="17"/>
    </row>
    <row r="196" spans="1:8" x14ac:dyDescent="0.25">
      <c r="A196" s="16"/>
      <c r="B196" s="17"/>
      <c r="C196" s="18"/>
      <c r="D196" s="18"/>
      <c r="E196" s="18" t="str">
        <f t="shared" si="6"/>
        <v/>
      </c>
      <c r="F196" s="18" t="str">
        <f t="shared" si="7"/>
        <v/>
      </c>
      <c r="G196" s="17" t="str">
        <f t="shared" si="8"/>
        <v/>
      </c>
      <c r="H196" s="17"/>
    </row>
    <row r="197" spans="1:8" x14ac:dyDescent="0.25">
      <c r="A197" s="16"/>
      <c r="B197" s="17"/>
      <c r="C197" s="18"/>
      <c r="D197" s="18"/>
      <c r="E197" s="18" t="str">
        <f t="shared" ref="E197:E260" si="9">IF(B197="","",SUM(C197:D197))</f>
        <v/>
      </c>
      <c r="F197" s="18" t="str">
        <f t="shared" ref="F197:F260" si="10">IF(B197="","",C197*5+D197*10)</f>
        <v/>
      </c>
      <c r="G197" s="17" t="str">
        <f t="shared" ref="G197:G260" si="11">IF(B197="","",IF(E197=0,"AGOTADO",IF(E197&lt;=3,"POCO STOCK","DISPONIBLE")))</f>
        <v/>
      </c>
      <c r="H197" s="17"/>
    </row>
    <row r="198" spans="1:8" x14ac:dyDescent="0.25">
      <c r="A198" s="16"/>
      <c r="B198" s="17"/>
      <c r="C198" s="18"/>
      <c r="D198" s="18"/>
      <c r="E198" s="18" t="str">
        <f t="shared" si="9"/>
        <v/>
      </c>
      <c r="F198" s="18" t="str">
        <f t="shared" si="10"/>
        <v/>
      </c>
      <c r="G198" s="17" t="str">
        <f t="shared" si="11"/>
        <v/>
      </c>
      <c r="H198" s="17"/>
    </row>
    <row r="199" spans="1:8" x14ac:dyDescent="0.25">
      <c r="A199" s="16"/>
      <c r="B199" s="17"/>
      <c r="C199" s="18"/>
      <c r="D199" s="18"/>
      <c r="E199" s="18" t="str">
        <f t="shared" si="9"/>
        <v/>
      </c>
      <c r="F199" s="18" t="str">
        <f t="shared" si="10"/>
        <v/>
      </c>
      <c r="G199" s="17" t="str">
        <f t="shared" si="11"/>
        <v/>
      </c>
      <c r="H199" s="17"/>
    </row>
    <row r="200" spans="1:8" x14ac:dyDescent="0.25">
      <c r="A200" s="16"/>
      <c r="B200" s="17"/>
      <c r="C200" s="18"/>
      <c r="D200" s="18"/>
      <c r="E200" s="18" t="str">
        <f t="shared" si="9"/>
        <v/>
      </c>
      <c r="F200" s="18" t="str">
        <f t="shared" si="10"/>
        <v/>
      </c>
      <c r="G200" s="17" t="str">
        <f t="shared" si="11"/>
        <v/>
      </c>
      <c r="H200" s="17"/>
    </row>
    <row r="201" spans="1:8" x14ac:dyDescent="0.25">
      <c r="A201" s="16"/>
      <c r="B201" s="17"/>
      <c r="C201" s="18"/>
      <c r="D201" s="18"/>
      <c r="E201" s="18" t="str">
        <f t="shared" si="9"/>
        <v/>
      </c>
      <c r="F201" s="18" t="str">
        <f t="shared" si="10"/>
        <v/>
      </c>
      <c r="G201" s="17" t="str">
        <f t="shared" si="11"/>
        <v/>
      </c>
      <c r="H201" s="17"/>
    </row>
    <row r="202" spans="1:8" x14ac:dyDescent="0.25">
      <c r="A202" s="16"/>
      <c r="B202" s="17"/>
      <c r="C202" s="18"/>
      <c r="D202" s="18"/>
      <c r="E202" s="18" t="str">
        <f t="shared" si="9"/>
        <v/>
      </c>
      <c r="F202" s="18" t="str">
        <f t="shared" si="10"/>
        <v/>
      </c>
      <c r="G202" s="17" t="str">
        <f t="shared" si="11"/>
        <v/>
      </c>
      <c r="H202" s="17"/>
    </row>
    <row r="203" spans="1:8" x14ac:dyDescent="0.25">
      <c r="A203" s="16"/>
      <c r="B203" s="17"/>
      <c r="C203" s="18"/>
      <c r="D203" s="18"/>
      <c r="E203" s="18" t="str">
        <f t="shared" si="9"/>
        <v/>
      </c>
      <c r="F203" s="18" t="str">
        <f t="shared" si="10"/>
        <v/>
      </c>
      <c r="G203" s="17" t="str">
        <f t="shared" si="11"/>
        <v/>
      </c>
      <c r="H203" s="17"/>
    </row>
    <row r="204" spans="1:8" x14ac:dyDescent="0.25">
      <c r="A204" s="16"/>
      <c r="B204" s="17"/>
      <c r="C204" s="18"/>
      <c r="D204" s="18"/>
      <c r="E204" s="18" t="str">
        <f t="shared" si="9"/>
        <v/>
      </c>
      <c r="F204" s="18" t="str">
        <f t="shared" si="10"/>
        <v/>
      </c>
      <c r="G204" s="17" t="str">
        <f t="shared" si="11"/>
        <v/>
      </c>
      <c r="H204" s="17"/>
    </row>
    <row r="205" spans="1:8" x14ac:dyDescent="0.25">
      <c r="A205" s="16"/>
      <c r="B205" s="17"/>
      <c r="C205" s="18"/>
      <c r="D205" s="18"/>
      <c r="E205" s="18" t="str">
        <f t="shared" si="9"/>
        <v/>
      </c>
      <c r="F205" s="18" t="str">
        <f t="shared" si="10"/>
        <v/>
      </c>
      <c r="G205" s="17" t="str">
        <f t="shared" si="11"/>
        <v/>
      </c>
      <c r="H205" s="17"/>
    </row>
    <row r="206" spans="1:8" x14ac:dyDescent="0.25">
      <c r="A206" s="16"/>
      <c r="B206" s="17"/>
      <c r="C206" s="18"/>
      <c r="D206" s="18"/>
      <c r="E206" s="18" t="str">
        <f t="shared" si="9"/>
        <v/>
      </c>
      <c r="F206" s="18" t="str">
        <f t="shared" si="10"/>
        <v/>
      </c>
      <c r="G206" s="17" t="str">
        <f t="shared" si="11"/>
        <v/>
      </c>
      <c r="H206" s="17"/>
    </row>
    <row r="207" spans="1:8" x14ac:dyDescent="0.25">
      <c r="A207" s="16"/>
      <c r="B207" s="17"/>
      <c r="C207" s="18"/>
      <c r="D207" s="18"/>
      <c r="E207" s="18" t="str">
        <f t="shared" si="9"/>
        <v/>
      </c>
      <c r="F207" s="18" t="str">
        <f t="shared" si="10"/>
        <v/>
      </c>
      <c r="G207" s="17" t="str">
        <f t="shared" si="11"/>
        <v/>
      </c>
      <c r="H207" s="17"/>
    </row>
    <row r="208" spans="1:8" x14ac:dyDescent="0.25">
      <c r="A208" s="16"/>
      <c r="B208" s="17"/>
      <c r="C208" s="18"/>
      <c r="D208" s="18"/>
      <c r="E208" s="18" t="str">
        <f t="shared" si="9"/>
        <v/>
      </c>
      <c r="F208" s="18" t="str">
        <f t="shared" si="10"/>
        <v/>
      </c>
      <c r="G208" s="17" t="str">
        <f t="shared" si="11"/>
        <v/>
      </c>
      <c r="H208" s="17"/>
    </row>
    <row r="209" spans="1:8" x14ac:dyDescent="0.25">
      <c r="A209" s="16"/>
      <c r="B209" s="17"/>
      <c r="C209" s="18"/>
      <c r="D209" s="18"/>
      <c r="E209" s="18" t="str">
        <f t="shared" si="9"/>
        <v/>
      </c>
      <c r="F209" s="18" t="str">
        <f t="shared" si="10"/>
        <v/>
      </c>
      <c r="G209" s="17" t="str">
        <f t="shared" si="11"/>
        <v/>
      </c>
      <c r="H209" s="17"/>
    </row>
    <row r="210" spans="1:8" x14ac:dyDescent="0.25">
      <c r="A210" s="16"/>
      <c r="B210" s="17"/>
      <c r="C210" s="18"/>
      <c r="D210" s="18"/>
      <c r="E210" s="18" t="str">
        <f t="shared" si="9"/>
        <v/>
      </c>
      <c r="F210" s="18" t="str">
        <f t="shared" si="10"/>
        <v/>
      </c>
      <c r="G210" s="17" t="str">
        <f t="shared" si="11"/>
        <v/>
      </c>
      <c r="H210" s="17"/>
    </row>
    <row r="211" spans="1:8" x14ac:dyDescent="0.25">
      <c r="A211" s="16"/>
      <c r="B211" s="17"/>
      <c r="C211" s="18"/>
      <c r="D211" s="18"/>
      <c r="E211" s="18" t="str">
        <f t="shared" si="9"/>
        <v/>
      </c>
      <c r="F211" s="18" t="str">
        <f t="shared" si="10"/>
        <v/>
      </c>
      <c r="G211" s="17" t="str">
        <f t="shared" si="11"/>
        <v/>
      </c>
      <c r="H211" s="17"/>
    </row>
    <row r="212" spans="1:8" x14ac:dyDescent="0.25">
      <c r="A212" s="16"/>
      <c r="B212" s="17"/>
      <c r="C212" s="18"/>
      <c r="D212" s="18"/>
      <c r="E212" s="18" t="str">
        <f t="shared" si="9"/>
        <v/>
      </c>
      <c r="F212" s="18" t="str">
        <f t="shared" si="10"/>
        <v/>
      </c>
      <c r="G212" s="17" t="str">
        <f t="shared" si="11"/>
        <v/>
      </c>
      <c r="H212" s="17"/>
    </row>
    <row r="213" spans="1:8" x14ac:dyDescent="0.25">
      <c r="A213" s="16"/>
      <c r="B213" s="17"/>
      <c r="C213" s="18"/>
      <c r="D213" s="18"/>
      <c r="E213" s="18" t="str">
        <f t="shared" si="9"/>
        <v/>
      </c>
      <c r="F213" s="18" t="str">
        <f t="shared" si="10"/>
        <v/>
      </c>
      <c r="G213" s="17" t="str">
        <f t="shared" si="11"/>
        <v/>
      </c>
      <c r="H213" s="17"/>
    </row>
    <row r="214" spans="1:8" x14ac:dyDescent="0.25">
      <c r="A214" s="16"/>
      <c r="B214" s="17"/>
      <c r="C214" s="18"/>
      <c r="D214" s="18"/>
      <c r="E214" s="18" t="str">
        <f t="shared" si="9"/>
        <v/>
      </c>
      <c r="F214" s="18" t="str">
        <f t="shared" si="10"/>
        <v/>
      </c>
      <c r="G214" s="17" t="str">
        <f t="shared" si="11"/>
        <v/>
      </c>
      <c r="H214" s="17"/>
    </row>
    <row r="215" spans="1:8" x14ac:dyDescent="0.25">
      <c r="A215" s="16"/>
      <c r="B215" s="17"/>
      <c r="C215" s="18"/>
      <c r="D215" s="18"/>
      <c r="E215" s="18" t="str">
        <f t="shared" si="9"/>
        <v/>
      </c>
      <c r="F215" s="18" t="str">
        <f t="shared" si="10"/>
        <v/>
      </c>
      <c r="G215" s="17" t="str">
        <f t="shared" si="11"/>
        <v/>
      </c>
      <c r="H215" s="17"/>
    </row>
    <row r="216" spans="1:8" x14ac:dyDescent="0.25">
      <c r="A216" s="16"/>
      <c r="B216" s="17"/>
      <c r="C216" s="18"/>
      <c r="D216" s="18"/>
      <c r="E216" s="18" t="str">
        <f t="shared" si="9"/>
        <v/>
      </c>
      <c r="F216" s="18" t="str">
        <f t="shared" si="10"/>
        <v/>
      </c>
      <c r="G216" s="17" t="str">
        <f t="shared" si="11"/>
        <v/>
      </c>
      <c r="H216" s="17"/>
    </row>
    <row r="217" spans="1:8" x14ac:dyDescent="0.25">
      <c r="A217" s="16"/>
      <c r="B217" s="17"/>
      <c r="C217" s="18"/>
      <c r="D217" s="18"/>
      <c r="E217" s="18" t="str">
        <f t="shared" si="9"/>
        <v/>
      </c>
      <c r="F217" s="18" t="str">
        <f t="shared" si="10"/>
        <v/>
      </c>
      <c r="G217" s="17" t="str">
        <f t="shared" si="11"/>
        <v/>
      </c>
      <c r="H217" s="17"/>
    </row>
    <row r="218" spans="1:8" x14ac:dyDescent="0.25">
      <c r="A218" s="16"/>
      <c r="B218" s="17"/>
      <c r="C218" s="18"/>
      <c r="D218" s="18"/>
      <c r="E218" s="18" t="str">
        <f t="shared" si="9"/>
        <v/>
      </c>
      <c r="F218" s="18" t="str">
        <f t="shared" si="10"/>
        <v/>
      </c>
      <c r="G218" s="17" t="str">
        <f t="shared" si="11"/>
        <v/>
      </c>
      <c r="H218" s="17"/>
    </row>
    <row r="219" spans="1:8" x14ac:dyDescent="0.25">
      <c r="A219" s="16"/>
      <c r="B219" s="17"/>
      <c r="C219" s="18"/>
      <c r="D219" s="18"/>
      <c r="E219" s="18" t="str">
        <f t="shared" si="9"/>
        <v/>
      </c>
      <c r="F219" s="18" t="str">
        <f t="shared" si="10"/>
        <v/>
      </c>
      <c r="G219" s="17" t="str">
        <f t="shared" si="11"/>
        <v/>
      </c>
      <c r="H219" s="17"/>
    </row>
    <row r="220" spans="1:8" x14ac:dyDescent="0.25">
      <c r="A220" s="16"/>
      <c r="B220" s="17"/>
      <c r="C220" s="18"/>
      <c r="D220" s="18"/>
      <c r="E220" s="18" t="str">
        <f t="shared" si="9"/>
        <v/>
      </c>
      <c r="F220" s="18" t="str">
        <f t="shared" si="10"/>
        <v/>
      </c>
      <c r="G220" s="17" t="str">
        <f t="shared" si="11"/>
        <v/>
      </c>
      <c r="H220" s="17"/>
    </row>
    <row r="221" spans="1:8" x14ac:dyDescent="0.25">
      <c r="A221" s="16"/>
      <c r="B221" s="17"/>
      <c r="C221" s="18"/>
      <c r="D221" s="18"/>
      <c r="E221" s="18" t="str">
        <f t="shared" si="9"/>
        <v/>
      </c>
      <c r="F221" s="18" t="str">
        <f t="shared" si="10"/>
        <v/>
      </c>
      <c r="G221" s="17" t="str">
        <f t="shared" si="11"/>
        <v/>
      </c>
      <c r="H221" s="17"/>
    </row>
    <row r="222" spans="1:8" x14ac:dyDescent="0.25">
      <c r="A222" s="16"/>
      <c r="B222" s="17"/>
      <c r="C222" s="18"/>
      <c r="D222" s="18"/>
      <c r="E222" s="18" t="str">
        <f t="shared" si="9"/>
        <v/>
      </c>
      <c r="F222" s="18" t="str">
        <f t="shared" si="10"/>
        <v/>
      </c>
      <c r="G222" s="17" t="str">
        <f t="shared" si="11"/>
        <v/>
      </c>
      <c r="H222" s="17"/>
    </row>
    <row r="223" spans="1:8" x14ac:dyDescent="0.25">
      <c r="A223" s="16"/>
      <c r="B223" s="17"/>
      <c r="C223" s="18"/>
      <c r="D223" s="18"/>
      <c r="E223" s="18" t="str">
        <f t="shared" si="9"/>
        <v/>
      </c>
      <c r="F223" s="18" t="str">
        <f t="shared" si="10"/>
        <v/>
      </c>
      <c r="G223" s="17" t="str">
        <f t="shared" si="11"/>
        <v/>
      </c>
      <c r="H223" s="17"/>
    </row>
    <row r="224" spans="1:8" x14ac:dyDescent="0.25">
      <c r="A224" s="16"/>
      <c r="B224" s="17"/>
      <c r="C224" s="18"/>
      <c r="D224" s="18"/>
      <c r="E224" s="18" t="str">
        <f t="shared" si="9"/>
        <v/>
      </c>
      <c r="F224" s="18" t="str">
        <f t="shared" si="10"/>
        <v/>
      </c>
      <c r="G224" s="17" t="str">
        <f t="shared" si="11"/>
        <v/>
      </c>
      <c r="H224" s="17"/>
    </row>
    <row r="225" spans="1:8" x14ac:dyDescent="0.25">
      <c r="A225" s="16"/>
      <c r="B225" s="17"/>
      <c r="C225" s="18"/>
      <c r="D225" s="18"/>
      <c r="E225" s="18" t="str">
        <f t="shared" si="9"/>
        <v/>
      </c>
      <c r="F225" s="18" t="str">
        <f t="shared" si="10"/>
        <v/>
      </c>
      <c r="G225" s="17" t="str">
        <f t="shared" si="11"/>
        <v/>
      </c>
      <c r="H225" s="17"/>
    </row>
    <row r="226" spans="1:8" x14ac:dyDescent="0.25">
      <c r="A226" s="16"/>
      <c r="B226" s="17"/>
      <c r="C226" s="18"/>
      <c r="D226" s="18"/>
      <c r="E226" s="18" t="str">
        <f t="shared" si="9"/>
        <v/>
      </c>
      <c r="F226" s="18" t="str">
        <f t="shared" si="10"/>
        <v/>
      </c>
      <c r="G226" s="17" t="str">
        <f t="shared" si="11"/>
        <v/>
      </c>
      <c r="H226" s="17"/>
    </row>
    <row r="227" spans="1:8" x14ac:dyDescent="0.25">
      <c r="A227" s="16"/>
      <c r="B227" s="17"/>
      <c r="C227" s="18"/>
      <c r="D227" s="18"/>
      <c r="E227" s="18" t="str">
        <f t="shared" si="9"/>
        <v/>
      </c>
      <c r="F227" s="18" t="str">
        <f t="shared" si="10"/>
        <v/>
      </c>
      <c r="G227" s="17" t="str">
        <f t="shared" si="11"/>
        <v/>
      </c>
      <c r="H227" s="17"/>
    </row>
    <row r="228" spans="1:8" x14ac:dyDescent="0.25">
      <c r="A228" s="16"/>
      <c r="B228" s="17"/>
      <c r="C228" s="18"/>
      <c r="D228" s="18"/>
      <c r="E228" s="18" t="str">
        <f t="shared" si="9"/>
        <v/>
      </c>
      <c r="F228" s="18" t="str">
        <f t="shared" si="10"/>
        <v/>
      </c>
      <c r="G228" s="17" t="str">
        <f t="shared" si="11"/>
        <v/>
      </c>
      <c r="H228" s="17"/>
    </row>
    <row r="229" spans="1:8" x14ac:dyDescent="0.25">
      <c r="A229" s="16"/>
      <c r="B229" s="17"/>
      <c r="C229" s="18"/>
      <c r="D229" s="18"/>
      <c r="E229" s="18" t="str">
        <f t="shared" si="9"/>
        <v/>
      </c>
      <c r="F229" s="18" t="str">
        <f t="shared" si="10"/>
        <v/>
      </c>
      <c r="G229" s="17" t="str">
        <f t="shared" si="11"/>
        <v/>
      </c>
      <c r="H229" s="17"/>
    </row>
    <row r="230" spans="1:8" x14ac:dyDescent="0.25">
      <c r="A230" s="16"/>
      <c r="B230" s="17"/>
      <c r="C230" s="18"/>
      <c r="D230" s="18"/>
      <c r="E230" s="18" t="str">
        <f t="shared" si="9"/>
        <v/>
      </c>
      <c r="F230" s="18" t="str">
        <f t="shared" si="10"/>
        <v/>
      </c>
      <c r="G230" s="17" t="str">
        <f t="shared" si="11"/>
        <v/>
      </c>
      <c r="H230" s="17"/>
    </row>
    <row r="231" spans="1:8" x14ac:dyDescent="0.25">
      <c r="A231" s="16"/>
      <c r="B231" s="17"/>
      <c r="C231" s="18"/>
      <c r="D231" s="18"/>
      <c r="E231" s="18" t="str">
        <f t="shared" si="9"/>
        <v/>
      </c>
      <c r="F231" s="18" t="str">
        <f t="shared" si="10"/>
        <v/>
      </c>
      <c r="G231" s="17" t="str">
        <f t="shared" si="11"/>
        <v/>
      </c>
      <c r="H231" s="17"/>
    </row>
    <row r="232" spans="1:8" x14ac:dyDescent="0.25">
      <c r="A232" s="16"/>
      <c r="B232" s="17"/>
      <c r="C232" s="18"/>
      <c r="D232" s="18"/>
      <c r="E232" s="18" t="str">
        <f t="shared" si="9"/>
        <v/>
      </c>
      <c r="F232" s="18" t="str">
        <f t="shared" si="10"/>
        <v/>
      </c>
      <c r="G232" s="17" t="str">
        <f t="shared" si="11"/>
        <v/>
      </c>
      <c r="H232" s="17"/>
    </row>
    <row r="233" spans="1:8" x14ac:dyDescent="0.25">
      <c r="A233" s="16"/>
      <c r="B233" s="17"/>
      <c r="C233" s="18"/>
      <c r="D233" s="18"/>
      <c r="E233" s="18" t="str">
        <f t="shared" si="9"/>
        <v/>
      </c>
      <c r="F233" s="18" t="str">
        <f t="shared" si="10"/>
        <v/>
      </c>
      <c r="G233" s="17" t="str">
        <f t="shared" si="11"/>
        <v/>
      </c>
      <c r="H233" s="17"/>
    </row>
    <row r="234" spans="1:8" x14ac:dyDescent="0.25">
      <c r="A234" s="16"/>
      <c r="B234" s="17"/>
      <c r="C234" s="18"/>
      <c r="D234" s="18"/>
      <c r="E234" s="18" t="str">
        <f t="shared" si="9"/>
        <v/>
      </c>
      <c r="F234" s="18" t="str">
        <f t="shared" si="10"/>
        <v/>
      </c>
      <c r="G234" s="17" t="str">
        <f t="shared" si="11"/>
        <v/>
      </c>
      <c r="H234" s="17"/>
    </row>
    <row r="235" spans="1:8" x14ac:dyDescent="0.25">
      <c r="A235" s="16"/>
      <c r="B235" s="17"/>
      <c r="C235" s="18"/>
      <c r="D235" s="18"/>
      <c r="E235" s="18" t="str">
        <f t="shared" si="9"/>
        <v/>
      </c>
      <c r="F235" s="18" t="str">
        <f t="shared" si="10"/>
        <v/>
      </c>
      <c r="G235" s="17" t="str">
        <f t="shared" si="11"/>
        <v/>
      </c>
      <c r="H235" s="17"/>
    </row>
    <row r="236" spans="1:8" x14ac:dyDescent="0.25">
      <c r="A236" s="16"/>
      <c r="B236" s="17"/>
      <c r="C236" s="18"/>
      <c r="D236" s="18"/>
      <c r="E236" s="18" t="str">
        <f t="shared" si="9"/>
        <v/>
      </c>
      <c r="F236" s="18" t="str">
        <f t="shared" si="10"/>
        <v/>
      </c>
      <c r="G236" s="17" t="str">
        <f t="shared" si="11"/>
        <v/>
      </c>
      <c r="H236" s="17"/>
    </row>
    <row r="237" spans="1:8" x14ac:dyDescent="0.25">
      <c r="A237" s="16"/>
      <c r="B237" s="17"/>
      <c r="C237" s="18"/>
      <c r="D237" s="18"/>
      <c r="E237" s="18" t="str">
        <f t="shared" si="9"/>
        <v/>
      </c>
      <c r="F237" s="18" t="str">
        <f t="shared" si="10"/>
        <v/>
      </c>
      <c r="G237" s="17" t="str">
        <f t="shared" si="11"/>
        <v/>
      </c>
      <c r="H237" s="17"/>
    </row>
    <row r="238" spans="1:8" x14ac:dyDescent="0.25">
      <c r="A238" s="16"/>
      <c r="B238" s="17"/>
      <c r="C238" s="18"/>
      <c r="D238" s="18"/>
      <c r="E238" s="18" t="str">
        <f t="shared" si="9"/>
        <v/>
      </c>
      <c r="F238" s="18" t="str">
        <f t="shared" si="10"/>
        <v/>
      </c>
      <c r="G238" s="17" t="str">
        <f t="shared" si="11"/>
        <v/>
      </c>
      <c r="H238" s="17"/>
    </row>
    <row r="239" spans="1:8" x14ac:dyDescent="0.25">
      <c r="A239" s="16"/>
      <c r="B239" s="17"/>
      <c r="C239" s="18"/>
      <c r="D239" s="18"/>
      <c r="E239" s="18" t="str">
        <f t="shared" si="9"/>
        <v/>
      </c>
      <c r="F239" s="18" t="str">
        <f t="shared" si="10"/>
        <v/>
      </c>
      <c r="G239" s="17" t="str">
        <f t="shared" si="11"/>
        <v/>
      </c>
      <c r="H239" s="17"/>
    </row>
    <row r="240" spans="1:8" x14ac:dyDescent="0.25">
      <c r="A240" s="16"/>
      <c r="B240" s="17"/>
      <c r="C240" s="18"/>
      <c r="D240" s="18"/>
      <c r="E240" s="18" t="str">
        <f t="shared" si="9"/>
        <v/>
      </c>
      <c r="F240" s="18" t="str">
        <f t="shared" si="10"/>
        <v/>
      </c>
      <c r="G240" s="17" t="str">
        <f t="shared" si="11"/>
        <v/>
      </c>
      <c r="H240" s="17"/>
    </row>
    <row r="241" spans="1:8" x14ac:dyDescent="0.25">
      <c r="A241" s="16"/>
      <c r="B241" s="17"/>
      <c r="C241" s="18"/>
      <c r="D241" s="18"/>
      <c r="E241" s="18" t="str">
        <f t="shared" si="9"/>
        <v/>
      </c>
      <c r="F241" s="18" t="str">
        <f t="shared" si="10"/>
        <v/>
      </c>
      <c r="G241" s="17" t="str">
        <f t="shared" si="11"/>
        <v/>
      </c>
      <c r="H241" s="17"/>
    </row>
    <row r="242" spans="1:8" x14ac:dyDescent="0.25">
      <c r="A242" s="16"/>
      <c r="B242" s="17"/>
      <c r="C242" s="18"/>
      <c r="D242" s="18"/>
      <c r="E242" s="18" t="str">
        <f t="shared" si="9"/>
        <v/>
      </c>
      <c r="F242" s="18" t="str">
        <f t="shared" si="10"/>
        <v/>
      </c>
      <c r="G242" s="17" t="str">
        <f t="shared" si="11"/>
        <v/>
      </c>
      <c r="H242" s="17"/>
    </row>
    <row r="243" spans="1:8" x14ac:dyDescent="0.25">
      <c r="A243" s="16"/>
      <c r="B243" s="17"/>
      <c r="C243" s="18"/>
      <c r="D243" s="18"/>
      <c r="E243" s="18" t="str">
        <f t="shared" si="9"/>
        <v/>
      </c>
      <c r="F243" s="18" t="str">
        <f t="shared" si="10"/>
        <v/>
      </c>
      <c r="G243" s="17" t="str">
        <f t="shared" si="11"/>
        <v/>
      </c>
      <c r="H243" s="17"/>
    </row>
    <row r="244" spans="1:8" x14ac:dyDescent="0.25">
      <c r="A244" s="16"/>
      <c r="B244" s="17"/>
      <c r="C244" s="18"/>
      <c r="D244" s="18"/>
      <c r="E244" s="18" t="str">
        <f t="shared" si="9"/>
        <v/>
      </c>
      <c r="F244" s="18" t="str">
        <f t="shared" si="10"/>
        <v/>
      </c>
      <c r="G244" s="17" t="str">
        <f t="shared" si="11"/>
        <v/>
      </c>
      <c r="H244" s="17"/>
    </row>
    <row r="245" spans="1:8" x14ac:dyDescent="0.25">
      <c r="A245" s="16"/>
      <c r="B245" s="17"/>
      <c r="C245" s="18"/>
      <c r="D245" s="18"/>
      <c r="E245" s="18" t="str">
        <f t="shared" si="9"/>
        <v/>
      </c>
      <c r="F245" s="18" t="str">
        <f t="shared" si="10"/>
        <v/>
      </c>
      <c r="G245" s="17" t="str">
        <f t="shared" si="11"/>
        <v/>
      </c>
      <c r="H245" s="17"/>
    </row>
    <row r="246" spans="1:8" x14ac:dyDescent="0.25">
      <c r="A246" s="16"/>
      <c r="B246" s="17"/>
      <c r="C246" s="18"/>
      <c r="D246" s="18"/>
      <c r="E246" s="18" t="str">
        <f t="shared" si="9"/>
        <v/>
      </c>
      <c r="F246" s="18" t="str">
        <f t="shared" si="10"/>
        <v/>
      </c>
      <c r="G246" s="17" t="str">
        <f t="shared" si="11"/>
        <v/>
      </c>
      <c r="H246" s="17"/>
    </row>
    <row r="247" spans="1:8" x14ac:dyDescent="0.25">
      <c r="A247" s="16"/>
      <c r="B247" s="17"/>
      <c r="C247" s="18"/>
      <c r="D247" s="18"/>
      <c r="E247" s="18" t="str">
        <f t="shared" si="9"/>
        <v/>
      </c>
      <c r="F247" s="18" t="str">
        <f t="shared" si="10"/>
        <v/>
      </c>
      <c r="G247" s="17" t="str">
        <f t="shared" si="11"/>
        <v/>
      </c>
      <c r="H247" s="17"/>
    </row>
    <row r="248" spans="1:8" x14ac:dyDescent="0.25">
      <c r="A248" s="16"/>
      <c r="B248" s="17"/>
      <c r="C248" s="18"/>
      <c r="D248" s="18"/>
      <c r="E248" s="18" t="str">
        <f t="shared" si="9"/>
        <v/>
      </c>
      <c r="F248" s="18" t="str">
        <f t="shared" si="10"/>
        <v/>
      </c>
      <c r="G248" s="17" t="str">
        <f t="shared" si="11"/>
        <v/>
      </c>
      <c r="H248" s="17"/>
    </row>
    <row r="249" spans="1:8" x14ac:dyDescent="0.25">
      <c r="A249" s="16"/>
      <c r="B249" s="17"/>
      <c r="C249" s="18"/>
      <c r="D249" s="18"/>
      <c r="E249" s="18" t="str">
        <f t="shared" si="9"/>
        <v/>
      </c>
      <c r="F249" s="18" t="str">
        <f t="shared" si="10"/>
        <v/>
      </c>
      <c r="G249" s="17" t="str">
        <f t="shared" si="11"/>
        <v/>
      </c>
      <c r="H249" s="17"/>
    </row>
    <row r="250" spans="1:8" x14ac:dyDescent="0.25">
      <c r="A250" s="16"/>
      <c r="B250" s="17"/>
      <c r="C250" s="18"/>
      <c r="D250" s="18"/>
      <c r="E250" s="18" t="str">
        <f t="shared" si="9"/>
        <v/>
      </c>
      <c r="F250" s="18" t="str">
        <f t="shared" si="10"/>
        <v/>
      </c>
      <c r="G250" s="17" t="str">
        <f t="shared" si="11"/>
        <v/>
      </c>
      <c r="H250" s="17"/>
    </row>
    <row r="251" spans="1:8" x14ac:dyDescent="0.25">
      <c r="A251" s="16"/>
      <c r="B251" s="17"/>
      <c r="C251" s="18"/>
      <c r="D251" s="18"/>
      <c r="E251" s="18" t="str">
        <f t="shared" si="9"/>
        <v/>
      </c>
      <c r="F251" s="18" t="str">
        <f t="shared" si="10"/>
        <v/>
      </c>
      <c r="G251" s="17" t="str">
        <f t="shared" si="11"/>
        <v/>
      </c>
      <c r="H251" s="17"/>
    </row>
    <row r="252" spans="1:8" x14ac:dyDescent="0.25">
      <c r="A252" s="16"/>
      <c r="B252" s="17"/>
      <c r="C252" s="18"/>
      <c r="D252" s="18"/>
      <c r="E252" s="18" t="str">
        <f t="shared" si="9"/>
        <v/>
      </c>
      <c r="F252" s="18" t="str">
        <f t="shared" si="10"/>
        <v/>
      </c>
      <c r="G252" s="17" t="str">
        <f t="shared" si="11"/>
        <v/>
      </c>
      <c r="H252" s="17"/>
    </row>
    <row r="253" spans="1:8" x14ac:dyDescent="0.25">
      <c r="A253" s="16"/>
      <c r="B253" s="17"/>
      <c r="C253" s="18"/>
      <c r="D253" s="18"/>
      <c r="E253" s="18" t="str">
        <f t="shared" si="9"/>
        <v/>
      </c>
      <c r="F253" s="18" t="str">
        <f t="shared" si="10"/>
        <v/>
      </c>
      <c r="G253" s="17" t="str">
        <f t="shared" si="11"/>
        <v/>
      </c>
      <c r="H253" s="17"/>
    </row>
    <row r="254" spans="1:8" x14ac:dyDescent="0.25">
      <c r="A254" s="16"/>
      <c r="B254" s="17"/>
      <c r="C254" s="18"/>
      <c r="D254" s="18"/>
      <c r="E254" s="18" t="str">
        <f t="shared" si="9"/>
        <v/>
      </c>
      <c r="F254" s="18" t="str">
        <f t="shared" si="10"/>
        <v/>
      </c>
      <c r="G254" s="17" t="str">
        <f t="shared" si="11"/>
        <v/>
      </c>
      <c r="H254" s="17"/>
    </row>
    <row r="255" spans="1:8" x14ac:dyDescent="0.25">
      <c r="A255" s="16"/>
      <c r="B255" s="17"/>
      <c r="C255" s="18"/>
      <c r="D255" s="18"/>
      <c r="E255" s="18" t="str">
        <f t="shared" si="9"/>
        <v/>
      </c>
      <c r="F255" s="18" t="str">
        <f t="shared" si="10"/>
        <v/>
      </c>
      <c r="G255" s="17" t="str">
        <f t="shared" si="11"/>
        <v/>
      </c>
      <c r="H255" s="17"/>
    </row>
    <row r="256" spans="1:8" x14ac:dyDescent="0.25">
      <c r="A256" s="16"/>
      <c r="B256" s="17"/>
      <c r="C256" s="18"/>
      <c r="D256" s="18"/>
      <c r="E256" s="18" t="str">
        <f t="shared" si="9"/>
        <v/>
      </c>
      <c r="F256" s="18" t="str">
        <f t="shared" si="10"/>
        <v/>
      </c>
      <c r="G256" s="17" t="str">
        <f t="shared" si="11"/>
        <v/>
      </c>
      <c r="H256" s="17"/>
    </row>
    <row r="257" spans="1:8" x14ac:dyDescent="0.25">
      <c r="A257" s="16"/>
      <c r="B257" s="17"/>
      <c r="C257" s="18"/>
      <c r="D257" s="18"/>
      <c r="E257" s="18" t="str">
        <f t="shared" si="9"/>
        <v/>
      </c>
      <c r="F257" s="18" t="str">
        <f t="shared" si="10"/>
        <v/>
      </c>
      <c r="G257" s="17" t="str">
        <f t="shared" si="11"/>
        <v/>
      </c>
      <c r="H257" s="17"/>
    </row>
    <row r="258" spans="1:8" x14ac:dyDescent="0.25">
      <c r="A258" s="16"/>
      <c r="B258" s="17"/>
      <c r="C258" s="18"/>
      <c r="D258" s="18"/>
      <c r="E258" s="18" t="str">
        <f t="shared" si="9"/>
        <v/>
      </c>
      <c r="F258" s="18" t="str">
        <f t="shared" si="10"/>
        <v/>
      </c>
      <c r="G258" s="17" t="str">
        <f t="shared" si="11"/>
        <v/>
      </c>
      <c r="H258" s="17"/>
    </row>
    <row r="259" spans="1:8" x14ac:dyDescent="0.25">
      <c r="A259" s="16"/>
      <c r="B259" s="17"/>
      <c r="C259" s="18"/>
      <c r="D259" s="18"/>
      <c r="E259" s="18" t="str">
        <f t="shared" si="9"/>
        <v/>
      </c>
      <c r="F259" s="18" t="str">
        <f t="shared" si="10"/>
        <v/>
      </c>
      <c r="G259" s="17" t="str">
        <f t="shared" si="11"/>
        <v/>
      </c>
      <c r="H259" s="17"/>
    </row>
    <row r="260" spans="1:8" x14ac:dyDescent="0.25">
      <c r="A260" s="16"/>
      <c r="B260" s="17"/>
      <c r="C260" s="18"/>
      <c r="D260" s="18"/>
      <c r="E260" s="18" t="str">
        <f t="shared" si="9"/>
        <v/>
      </c>
      <c r="F260" s="18" t="str">
        <f t="shared" si="10"/>
        <v/>
      </c>
      <c r="G260" s="17" t="str">
        <f t="shared" si="11"/>
        <v/>
      </c>
      <c r="H260" s="17"/>
    </row>
    <row r="261" spans="1:8" x14ac:dyDescent="0.25">
      <c r="A261" s="16"/>
      <c r="B261" s="17"/>
      <c r="C261" s="18"/>
      <c r="D261" s="18"/>
      <c r="E261" s="18" t="str">
        <f t="shared" ref="E261:E304" si="12">IF(B261="","",SUM(C261:D261))</f>
        <v/>
      </c>
      <c r="F261" s="18" t="str">
        <f t="shared" ref="F261:F304" si="13">IF(B261="","",C261*5+D261*10)</f>
        <v/>
      </c>
      <c r="G261" s="17" t="str">
        <f t="shared" ref="G261:G304" si="14">IF(B261="","",IF(E261=0,"AGOTADO",IF(E261&lt;=3,"POCO STOCK","DISPONIBLE")))</f>
        <v/>
      </c>
      <c r="H261" s="17"/>
    </row>
    <row r="262" spans="1:8" x14ac:dyDescent="0.25">
      <c r="A262" s="16"/>
      <c r="B262" s="17"/>
      <c r="C262" s="18"/>
      <c r="D262" s="18"/>
      <c r="E262" s="18" t="str">
        <f t="shared" si="12"/>
        <v/>
      </c>
      <c r="F262" s="18" t="str">
        <f t="shared" si="13"/>
        <v/>
      </c>
      <c r="G262" s="17" t="str">
        <f t="shared" si="14"/>
        <v/>
      </c>
      <c r="H262" s="17"/>
    </row>
    <row r="263" spans="1:8" x14ac:dyDescent="0.25">
      <c r="A263" s="16"/>
      <c r="B263" s="17"/>
      <c r="C263" s="18"/>
      <c r="D263" s="18"/>
      <c r="E263" s="18" t="str">
        <f t="shared" si="12"/>
        <v/>
      </c>
      <c r="F263" s="18" t="str">
        <f t="shared" si="13"/>
        <v/>
      </c>
      <c r="G263" s="17" t="str">
        <f t="shared" si="14"/>
        <v/>
      </c>
      <c r="H263" s="17"/>
    </row>
    <row r="264" spans="1:8" x14ac:dyDescent="0.25">
      <c r="A264" s="16"/>
      <c r="B264" s="17"/>
      <c r="C264" s="18"/>
      <c r="D264" s="18"/>
      <c r="E264" s="18" t="str">
        <f t="shared" si="12"/>
        <v/>
      </c>
      <c r="F264" s="18" t="str">
        <f t="shared" si="13"/>
        <v/>
      </c>
      <c r="G264" s="17" t="str">
        <f t="shared" si="14"/>
        <v/>
      </c>
      <c r="H264" s="17"/>
    </row>
    <row r="265" spans="1:8" x14ac:dyDescent="0.25">
      <c r="A265" s="16"/>
      <c r="B265" s="17"/>
      <c r="C265" s="18"/>
      <c r="D265" s="18"/>
      <c r="E265" s="18" t="str">
        <f t="shared" si="12"/>
        <v/>
      </c>
      <c r="F265" s="18" t="str">
        <f t="shared" si="13"/>
        <v/>
      </c>
      <c r="G265" s="17" t="str">
        <f t="shared" si="14"/>
        <v/>
      </c>
      <c r="H265" s="17"/>
    </row>
    <row r="266" spans="1:8" x14ac:dyDescent="0.25">
      <c r="A266" s="16"/>
      <c r="B266" s="17"/>
      <c r="C266" s="18"/>
      <c r="D266" s="18"/>
      <c r="E266" s="18" t="str">
        <f t="shared" si="12"/>
        <v/>
      </c>
      <c r="F266" s="18" t="str">
        <f t="shared" si="13"/>
        <v/>
      </c>
      <c r="G266" s="17" t="str">
        <f t="shared" si="14"/>
        <v/>
      </c>
      <c r="H266" s="17"/>
    </row>
    <row r="267" spans="1:8" x14ac:dyDescent="0.25">
      <c r="A267" s="16"/>
      <c r="B267" s="17"/>
      <c r="C267" s="18"/>
      <c r="D267" s="18"/>
      <c r="E267" s="18" t="str">
        <f t="shared" si="12"/>
        <v/>
      </c>
      <c r="F267" s="18" t="str">
        <f t="shared" si="13"/>
        <v/>
      </c>
      <c r="G267" s="17" t="str">
        <f t="shared" si="14"/>
        <v/>
      </c>
      <c r="H267" s="17"/>
    </row>
    <row r="268" spans="1:8" x14ac:dyDescent="0.25">
      <c r="A268" s="16"/>
      <c r="B268" s="17"/>
      <c r="C268" s="18"/>
      <c r="D268" s="18"/>
      <c r="E268" s="18" t="str">
        <f t="shared" si="12"/>
        <v/>
      </c>
      <c r="F268" s="18" t="str">
        <f t="shared" si="13"/>
        <v/>
      </c>
      <c r="G268" s="17" t="str">
        <f t="shared" si="14"/>
        <v/>
      </c>
      <c r="H268" s="17"/>
    </row>
    <row r="269" spans="1:8" x14ac:dyDescent="0.25">
      <c r="A269" s="16"/>
      <c r="B269" s="17"/>
      <c r="C269" s="18"/>
      <c r="D269" s="18"/>
      <c r="E269" s="18" t="str">
        <f t="shared" si="12"/>
        <v/>
      </c>
      <c r="F269" s="18" t="str">
        <f t="shared" si="13"/>
        <v/>
      </c>
      <c r="G269" s="17" t="str">
        <f t="shared" si="14"/>
        <v/>
      </c>
      <c r="H269" s="17"/>
    </row>
    <row r="270" spans="1:8" x14ac:dyDescent="0.25">
      <c r="A270" s="16"/>
      <c r="B270" s="17"/>
      <c r="C270" s="18"/>
      <c r="D270" s="18"/>
      <c r="E270" s="18" t="str">
        <f t="shared" si="12"/>
        <v/>
      </c>
      <c r="F270" s="18" t="str">
        <f t="shared" si="13"/>
        <v/>
      </c>
      <c r="G270" s="17" t="str">
        <f t="shared" si="14"/>
        <v/>
      </c>
      <c r="H270" s="17"/>
    </row>
    <row r="271" spans="1:8" x14ac:dyDescent="0.25">
      <c r="A271" s="16"/>
      <c r="B271" s="17"/>
      <c r="C271" s="18"/>
      <c r="D271" s="18"/>
      <c r="E271" s="18" t="str">
        <f t="shared" si="12"/>
        <v/>
      </c>
      <c r="F271" s="18" t="str">
        <f t="shared" si="13"/>
        <v/>
      </c>
      <c r="G271" s="17" t="str">
        <f t="shared" si="14"/>
        <v/>
      </c>
      <c r="H271" s="17"/>
    </row>
    <row r="272" spans="1:8" x14ac:dyDescent="0.25">
      <c r="A272" s="16"/>
      <c r="B272" s="17"/>
      <c r="C272" s="18"/>
      <c r="D272" s="18"/>
      <c r="E272" s="18" t="str">
        <f t="shared" si="12"/>
        <v/>
      </c>
      <c r="F272" s="18" t="str">
        <f t="shared" si="13"/>
        <v/>
      </c>
      <c r="G272" s="17" t="str">
        <f t="shared" si="14"/>
        <v/>
      </c>
      <c r="H272" s="17"/>
    </row>
    <row r="273" spans="1:8" x14ac:dyDescent="0.25">
      <c r="A273" s="16"/>
      <c r="B273" s="17"/>
      <c r="C273" s="18"/>
      <c r="D273" s="18"/>
      <c r="E273" s="18" t="str">
        <f t="shared" si="12"/>
        <v/>
      </c>
      <c r="F273" s="18" t="str">
        <f t="shared" si="13"/>
        <v/>
      </c>
      <c r="G273" s="17" t="str">
        <f t="shared" si="14"/>
        <v/>
      </c>
      <c r="H273" s="17"/>
    </row>
    <row r="274" spans="1:8" x14ac:dyDescent="0.25">
      <c r="A274" s="16"/>
      <c r="B274" s="17"/>
      <c r="C274" s="18"/>
      <c r="D274" s="18"/>
      <c r="E274" s="18" t="str">
        <f t="shared" si="12"/>
        <v/>
      </c>
      <c r="F274" s="18" t="str">
        <f t="shared" si="13"/>
        <v/>
      </c>
      <c r="G274" s="17" t="str">
        <f t="shared" si="14"/>
        <v/>
      </c>
      <c r="H274" s="17"/>
    </row>
    <row r="275" spans="1:8" x14ac:dyDescent="0.25">
      <c r="A275" s="16"/>
      <c r="B275" s="17"/>
      <c r="C275" s="18"/>
      <c r="D275" s="18"/>
      <c r="E275" s="18" t="str">
        <f t="shared" si="12"/>
        <v/>
      </c>
      <c r="F275" s="18" t="str">
        <f t="shared" si="13"/>
        <v/>
      </c>
      <c r="G275" s="17" t="str">
        <f t="shared" si="14"/>
        <v/>
      </c>
      <c r="H275" s="17"/>
    </row>
    <row r="276" spans="1:8" x14ac:dyDescent="0.25">
      <c r="A276" s="16"/>
      <c r="B276" s="17"/>
      <c r="C276" s="18"/>
      <c r="D276" s="18"/>
      <c r="E276" s="18" t="str">
        <f t="shared" si="12"/>
        <v/>
      </c>
      <c r="F276" s="18" t="str">
        <f t="shared" si="13"/>
        <v/>
      </c>
      <c r="G276" s="17" t="str">
        <f t="shared" si="14"/>
        <v/>
      </c>
      <c r="H276" s="17"/>
    </row>
    <row r="277" spans="1:8" x14ac:dyDescent="0.25">
      <c r="A277" s="16"/>
      <c r="B277" s="17"/>
      <c r="C277" s="18"/>
      <c r="D277" s="18"/>
      <c r="E277" s="18" t="str">
        <f t="shared" si="12"/>
        <v/>
      </c>
      <c r="F277" s="18" t="str">
        <f t="shared" si="13"/>
        <v/>
      </c>
      <c r="G277" s="17" t="str">
        <f t="shared" si="14"/>
        <v/>
      </c>
      <c r="H277" s="17"/>
    </row>
    <row r="278" spans="1:8" x14ac:dyDescent="0.25">
      <c r="A278" s="16"/>
      <c r="B278" s="17"/>
      <c r="C278" s="18"/>
      <c r="D278" s="18"/>
      <c r="E278" s="18" t="str">
        <f t="shared" si="12"/>
        <v/>
      </c>
      <c r="F278" s="18" t="str">
        <f t="shared" si="13"/>
        <v/>
      </c>
      <c r="G278" s="17" t="str">
        <f t="shared" si="14"/>
        <v/>
      </c>
      <c r="H278" s="17"/>
    </row>
    <row r="279" spans="1:8" x14ac:dyDescent="0.25">
      <c r="A279" s="16"/>
      <c r="B279" s="17"/>
      <c r="C279" s="18"/>
      <c r="D279" s="18"/>
      <c r="E279" s="18" t="str">
        <f t="shared" si="12"/>
        <v/>
      </c>
      <c r="F279" s="18" t="str">
        <f t="shared" si="13"/>
        <v/>
      </c>
      <c r="G279" s="17" t="str">
        <f t="shared" si="14"/>
        <v/>
      </c>
      <c r="H279" s="17"/>
    </row>
    <row r="280" spans="1:8" x14ac:dyDescent="0.25">
      <c r="A280" s="16"/>
      <c r="B280" s="17"/>
      <c r="C280" s="18"/>
      <c r="D280" s="18"/>
      <c r="E280" s="18" t="str">
        <f t="shared" si="12"/>
        <v/>
      </c>
      <c r="F280" s="18" t="str">
        <f t="shared" si="13"/>
        <v/>
      </c>
      <c r="G280" s="17" t="str">
        <f t="shared" si="14"/>
        <v/>
      </c>
      <c r="H280" s="17"/>
    </row>
    <row r="281" spans="1:8" x14ac:dyDescent="0.25">
      <c r="A281" s="16"/>
      <c r="B281" s="17"/>
      <c r="C281" s="18"/>
      <c r="D281" s="18"/>
      <c r="E281" s="18" t="str">
        <f t="shared" si="12"/>
        <v/>
      </c>
      <c r="F281" s="18" t="str">
        <f t="shared" si="13"/>
        <v/>
      </c>
      <c r="G281" s="17" t="str">
        <f t="shared" si="14"/>
        <v/>
      </c>
      <c r="H281" s="17"/>
    </row>
    <row r="282" spans="1:8" x14ac:dyDescent="0.25">
      <c r="A282" s="16"/>
      <c r="B282" s="17"/>
      <c r="C282" s="18"/>
      <c r="D282" s="18"/>
      <c r="E282" s="18" t="str">
        <f t="shared" si="12"/>
        <v/>
      </c>
      <c r="F282" s="18" t="str">
        <f t="shared" si="13"/>
        <v/>
      </c>
      <c r="G282" s="17" t="str">
        <f t="shared" si="14"/>
        <v/>
      </c>
      <c r="H282" s="17"/>
    </row>
    <row r="283" spans="1:8" x14ac:dyDescent="0.25">
      <c r="A283" s="16"/>
      <c r="B283" s="17"/>
      <c r="C283" s="18"/>
      <c r="D283" s="18"/>
      <c r="E283" s="18" t="str">
        <f t="shared" si="12"/>
        <v/>
      </c>
      <c r="F283" s="18" t="str">
        <f t="shared" si="13"/>
        <v/>
      </c>
      <c r="G283" s="17" t="str">
        <f t="shared" si="14"/>
        <v/>
      </c>
      <c r="H283" s="17"/>
    </row>
    <row r="284" spans="1:8" x14ac:dyDescent="0.25">
      <c r="A284" s="16"/>
      <c r="B284" s="17"/>
      <c r="C284" s="18"/>
      <c r="D284" s="18"/>
      <c r="E284" s="18" t="str">
        <f t="shared" si="12"/>
        <v/>
      </c>
      <c r="F284" s="18" t="str">
        <f t="shared" si="13"/>
        <v/>
      </c>
      <c r="G284" s="17" t="str">
        <f t="shared" si="14"/>
        <v/>
      </c>
      <c r="H284" s="17"/>
    </row>
    <row r="285" spans="1:8" x14ac:dyDescent="0.25">
      <c r="A285" s="16"/>
      <c r="B285" s="17"/>
      <c r="C285" s="18"/>
      <c r="D285" s="18"/>
      <c r="E285" s="18" t="str">
        <f t="shared" si="12"/>
        <v/>
      </c>
      <c r="F285" s="18" t="str">
        <f t="shared" si="13"/>
        <v/>
      </c>
      <c r="G285" s="17" t="str">
        <f t="shared" si="14"/>
        <v/>
      </c>
      <c r="H285" s="17"/>
    </row>
    <row r="286" spans="1:8" x14ac:dyDescent="0.25">
      <c r="A286" s="16"/>
      <c r="B286" s="17"/>
      <c r="C286" s="18"/>
      <c r="D286" s="18"/>
      <c r="E286" s="18" t="str">
        <f t="shared" si="12"/>
        <v/>
      </c>
      <c r="F286" s="18" t="str">
        <f t="shared" si="13"/>
        <v/>
      </c>
      <c r="G286" s="17" t="str">
        <f t="shared" si="14"/>
        <v/>
      </c>
      <c r="H286" s="17"/>
    </row>
    <row r="287" spans="1:8" x14ac:dyDescent="0.25">
      <c r="A287" s="16"/>
      <c r="B287" s="17"/>
      <c r="C287" s="18"/>
      <c r="D287" s="18"/>
      <c r="E287" s="18" t="str">
        <f t="shared" si="12"/>
        <v/>
      </c>
      <c r="F287" s="18" t="str">
        <f t="shared" si="13"/>
        <v/>
      </c>
      <c r="G287" s="17" t="str">
        <f t="shared" si="14"/>
        <v/>
      </c>
      <c r="H287" s="17"/>
    </row>
    <row r="288" spans="1:8" x14ac:dyDescent="0.25">
      <c r="A288" s="16"/>
      <c r="B288" s="17"/>
      <c r="C288" s="18"/>
      <c r="D288" s="18"/>
      <c r="E288" s="18" t="str">
        <f t="shared" si="12"/>
        <v/>
      </c>
      <c r="F288" s="18" t="str">
        <f t="shared" si="13"/>
        <v/>
      </c>
      <c r="G288" s="17" t="str">
        <f t="shared" si="14"/>
        <v/>
      </c>
      <c r="H288" s="17"/>
    </row>
    <row r="289" spans="1:8" x14ac:dyDescent="0.25">
      <c r="A289" s="16"/>
      <c r="B289" s="17"/>
      <c r="C289" s="18"/>
      <c r="D289" s="18"/>
      <c r="E289" s="18" t="str">
        <f t="shared" si="12"/>
        <v/>
      </c>
      <c r="F289" s="18" t="str">
        <f t="shared" si="13"/>
        <v/>
      </c>
      <c r="G289" s="17" t="str">
        <f t="shared" si="14"/>
        <v/>
      </c>
      <c r="H289" s="17"/>
    </row>
    <row r="290" spans="1:8" x14ac:dyDescent="0.25">
      <c r="A290" s="16"/>
      <c r="B290" s="17"/>
      <c r="C290" s="18"/>
      <c r="D290" s="18"/>
      <c r="E290" s="18" t="str">
        <f t="shared" si="12"/>
        <v/>
      </c>
      <c r="F290" s="18" t="str">
        <f t="shared" si="13"/>
        <v/>
      </c>
      <c r="G290" s="17" t="str">
        <f t="shared" si="14"/>
        <v/>
      </c>
      <c r="H290" s="17"/>
    </row>
    <row r="291" spans="1:8" x14ac:dyDescent="0.25">
      <c r="A291" s="16"/>
      <c r="B291" s="17"/>
      <c r="C291" s="18"/>
      <c r="D291" s="18"/>
      <c r="E291" s="18" t="str">
        <f t="shared" si="12"/>
        <v/>
      </c>
      <c r="F291" s="18" t="str">
        <f t="shared" si="13"/>
        <v/>
      </c>
      <c r="G291" s="17" t="str">
        <f t="shared" si="14"/>
        <v/>
      </c>
      <c r="H291" s="17"/>
    </row>
    <row r="292" spans="1:8" x14ac:dyDescent="0.25">
      <c r="A292" s="16"/>
      <c r="B292" s="17"/>
      <c r="C292" s="18"/>
      <c r="D292" s="18"/>
      <c r="E292" s="18" t="str">
        <f t="shared" si="12"/>
        <v/>
      </c>
      <c r="F292" s="18" t="str">
        <f t="shared" si="13"/>
        <v/>
      </c>
      <c r="G292" s="17" t="str">
        <f t="shared" si="14"/>
        <v/>
      </c>
      <c r="H292" s="17"/>
    </row>
    <row r="293" spans="1:8" x14ac:dyDescent="0.25">
      <c r="A293" s="16"/>
      <c r="B293" s="17"/>
      <c r="C293" s="18"/>
      <c r="D293" s="18"/>
      <c r="E293" s="18" t="str">
        <f t="shared" si="12"/>
        <v/>
      </c>
      <c r="F293" s="18" t="str">
        <f t="shared" si="13"/>
        <v/>
      </c>
      <c r="G293" s="17" t="str">
        <f t="shared" si="14"/>
        <v/>
      </c>
      <c r="H293" s="17"/>
    </row>
    <row r="294" spans="1:8" x14ac:dyDescent="0.25">
      <c r="A294" s="16"/>
      <c r="B294" s="17"/>
      <c r="C294" s="18"/>
      <c r="D294" s="18"/>
      <c r="E294" s="18" t="str">
        <f t="shared" si="12"/>
        <v/>
      </c>
      <c r="F294" s="18" t="str">
        <f t="shared" si="13"/>
        <v/>
      </c>
      <c r="G294" s="17" t="str">
        <f t="shared" si="14"/>
        <v/>
      </c>
      <c r="H294" s="17"/>
    </row>
    <row r="295" spans="1:8" x14ac:dyDescent="0.25">
      <c r="A295" s="16"/>
      <c r="B295" s="17"/>
      <c r="C295" s="18"/>
      <c r="D295" s="18"/>
      <c r="E295" s="18" t="str">
        <f t="shared" si="12"/>
        <v/>
      </c>
      <c r="F295" s="18" t="str">
        <f t="shared" si="13"/>
        <v/>
      </c>
      <c r="G295" s="17" t="str">
        <f t="shared" si="14"/>
        <v/>
      </c>
      <c r="H295" s="17"/>
    </row>
    <row r="296" spans="1:8" x14ac:dyDescent="0.25">
      <c r="A296" s="16"/>
      <c r="B296" s="17"/>
      <c r="C296" s="18"/>
      <c r="D296" s="18"/>
      <c r="E296" s="18" t="str">
        <f t="shared" si="12"/>
        <v/>
      </c>
      <c r="F296" s="18" t="str">
        <f t="shared" si="13"/>
        <v/>
      </c>
      <c r="G296" s="17" t="str">
        <f t="shared" si="14"/>
        <v/>
      </c>
      <c r="H296" s="17"/>
    </row>
    <row r="297" spans="1:8" x14ac:dyDescent="0.25">
      <c r="A297" s="16"/>
      <c r="B297" s="17"/>
      <c r="C297" s="18"/>
      <c r="D297" s="18"/>
      <c r="E297" s="18" t="str">
        <f t="shared" si="12"/>
        <v/>
      </c>
      <c r="F297" s="18" t="str">
        <f t="shared" si="13"/>
        <v/>
      </c>
      <c r="G297" s="17" t="str">
        <f t="shared" si="14"/>
        <v/>
      </c>
      <c r="H297" s="17"/>
    </row>
    <row r="298" spans="1:8" x14ac:dyDescent="0.25">
      <c r="A298" s="16"/>
      <c r="B298" s="17"/>
      <c r="C298" s="18"/>
      <c r="D298" s="18"/>
      <c r="E298" s="18" t="str">
        <f t="shared" si="12"/>
        <v/>
      </c>
      <c r="F298" s="18" t="str">
        <f t="shared" si="13"/>
        <v/>
      </c>
      <c r="G298" s="17" t="str">
        <f t="shared" si="14"/>
        <v/>
      </c>
      <c r="H298" s="17"/>
    </row>
    <row r="299" spans="1:8" x14ac:dyDescent="0.25">
      <c r="A299" s="16"/>
      <c r="B299" s="17"/>
      <c r="C299" s="18"/>
      <c r="D299" s="18"/>
      <c r="E299" s="18" t="str">
        <f t="shared" si="12"/>
        <v/>
      </c>
      <c r="F299" s="18" t="str">
        <f t="shared" si="13"/>
        <v/>
      </c>
      <c r="G299" s="17" t="str">
        <f t="shared" si="14"/>
        <v/>
      </c>
      <c r="H299" s="17"/>
    </row>
    <row r="300" spans="1:8" x14ac:dyDescent="0.25">
      <c r="A300" s="16"/>
      <c r="B300" s="17"/>
      <c r="C300" s="18"/>
      <c r="D300" s="18"/>
      <c r="E300" s="18" t="str">
        <f t="shared" si="12"/>
        <v/>
      </c>
      <c r="F300" s="18" t="str">
        <f t="shared" si="13"/>
        <v/>
      </c>
      <c r="G300" s="17" t="str">
        <f t="shared" si="14"/>
        <v/>
      </c>
      <c r="H300" s="17"/>
    </row>
    <row r="301" spans="1:8" x14ac:dyDescent="0.25">
      <c r="A301" s="16"/>
      <c r="B301" s="17"/>
      <c r="C301" s="18"/>
      <c r="D301" s="18"/>
      <c r="E301" s="18" t="str">
        <f t="shared" si="12"/>
        <v/>
      </c>
      <c r="F301" s="18" t="str">
        <f t="shared" si="13"/>
        <v/>
      </c>
      <c r="G301" s="17" t="str">
        <f t="shared" si="14"/>
        <v/>
      </c>
      <c r="H301" s="17"/>
    </row>
    <row r="302" spans="1:8" x14ac:dyDescent="0.25">
      <c r="A302" s="16"/>
      <c r="B302" s="17"/>
      <c r="C302" s="18"/>
      <c r="D302" s="18"/>
      <c r="E302" s="18" t="str">
        <f t="shared" si="12"/>
        <v/>
      </c>
      <c r="F302" s="18" t="str">
        <f t="shared" si="13"/>
        <v/>
      </c>
      <c r="G302" s="17" t="str">
        <f t="shared" si="14"/>
        <v/>
      </c>
      <c r="H302" s="17"/>
    </row>
    <row r="303" spans="1:8" x14ac:dyDescent="0.25">
      <c r="A303" s="16"/>
      <c r="B303" s="17"/>
      <c r="C303" s="18"/>
      <c r="D303" s="18"/>
      <c r="E303" s="18" t="str">
        <f t="shared" si="12"/>
        <v/>
      </c>
      <c r="F303" s="18" t="str">
        <f t="shared" si="13"/>
        <v/>
      </c>
      <c r="G303" s="17" t="str">
        <f t="shared" si="14"/>
        <v/>
      </c>
      <c r="H303" s="17"/>
    </row>
    <row r="304" spans="1:8" x14ac:dyDescent="0.25">
      <c r="A304" s="16"/>
      <c r="B304" s="17"/>
      <c r="C304" s="18"/>
      <c r="D304" s="18"/>
      <c r="E304" s="18" t="str">
        <f t="shared" si="12"/>
        <v/>
      </c>
      <c r="F304" s="18" t="str">
        <f t="shared" si="13"/>
        <v/>
      </c>
      <c r="G304" s="17" t="str">
        <f t="shared" si="14"/>
        <v/>
      </c>
      <c r="H304" s="17"/>
    </row>
  </sheetData>
  <autoFilter ref="A4:H304" xr:uid="{00000000-0009-0000-0000-000000000000}"/>
  <mergeCells count="2">
    <mergeCell ref="A1:J1"/>
    <mergeCell ref="A2:J2"/>
  </mergeCells>
  <conditionalFormatting sqref="G5:G304">
    <cfRule type="cellIs" dxfId="11" priority="4" operator="equal">
      <formula>"DISPONIBLE"</formula>
    </cfRule>
    <cfRule type="cellIs" dxfId="10" priority="5" operator="equal">
      <formula>"POCO STOCK"</formula>
    </cfRule>
    <cfRule type="cellIs" dxfId="9" priority="6" operator="equal">
      <formula>"AGOTADO"</formula>
    </cfRule>
  </conditionalFormatting>
  <conditionalFormatting sqref="H5:H504">
    <cfRule type="expression" dxfId="8" priority="1">
      <formula>H5&gt;0</formula>
    </cfRule>
  </conditionalFormatting>
  <conditionalFormatting sqref="I5:I504">
    <cfRule type="expression" dxfId="7" priority="2">
      <formula>I5="CRÉDITO"</formula>
    </cfRule>
    <cfRule type="expression" dxfId="6" priority="3">
      <formula>I5="PAGADO"</formula>
    </cfRule>
  </conditionalFormatting>
  <dataValidations count="4">
    <dataValidation type="whole" allowBlank="1" sqref="E5:E17 E19:E504" xr:uid="{00000000-0002-0000-0000-000000000000}">
      <formula1>1</formula1>
      <formula2>999</formula2>
    </dataValidation>
    <dataValidation type="list" allowBlank="1" sqref="C5:C504" xr:uid="{00000000-0002-0000-0000-000001000000}">
      <formula1>"Decant 5 ml,Decant 10 ml,Bote sellado"</formula1>
    </dataValidation>
    <dataValidation type="whole" operator="greaterThanOrEqual" allowBlank="1" errorTitle="Cantidad no válida" error="Ingresa un número entero igual o mayor que 0." promptTitle="Stock" prompt="Escribe cuántos decants tienes disponibles." sqref="C5:D304" xr:uid="{00000000-0002-0000-0000-000002000000}">
      <formula1>0</formula1>
    </dataValidation>
    <dataValidation type="date" allowBlank="1" error="Ingresa una fecha válida." sqref="A5:A304" xr:uid="{00000000-0002-0000-0000-000003000000}">
      <formula1>DATE(2020,1,1)</formula1>
      <formula2>DATE(2100,12,31)</formula2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J504"/>
  <sheetViews>
    <sheetView showGridLines="0" zoomScale="121" zoomScaleNormal="130" workbookViewId="0">
      <pane ySplit="4" topLeftCell="A6" activePane="bottomLeft" state="frozen"/>
      <selection pane="bottomLeft" activeCell="A14" sqref="A14"/>
    </sheetView>
  </sheetViews>
  <sheetFormatPr defaultRowHeight="15" x14ac:dyDescent="0.25"/>
  <cols>
    <col min="1" max="1" width="13" customWidth="1"/>
    <col min="2" max="2" width="24" customWidth="1"/>
    <col min="3" max="3" width="20" customWidth="1"/>
    <col min="4" max="4" width="52.85546875" customWidth="1"/>
    <col min="5" max="5" width="11" customWidth="1"/>
    <col min="6" max="7" width="15" customWidth="1"/>
    <col min="8" max="8" width="19" customWidth="1"/>
    <col min="9" max="9" width="14" customWidth="1"/>
    <col min="10" max="10" width="58.140625" customWidth="1"/>
  </cols>
  <sheetData>
    <row r="1" spans="1:10" ht="30" customHeight="1" x14ac:dyDescent="0.25">
      <c r="A1" s="22" t="s">
        <v>12</v>
      </c>
      <c r="B1" s="20"/>
      <c r="C1" s="20"/>
      <c r="D1" s="20"/>
      <c r="E1" s="20"/>
      <c r="F1" s="20"/>
      <c r="G1" s="20"/>
      <c r="H1" s="20"/>
      <c r="I1" s="20"/>
      <c r="J1" s="20"/>
    </row>
    <row r="2" spans="1:10" x14ac:dyDescent="0.25">
      <c r="A2" s="23" t="s">
        <v>13</v>
      </c>
      <c r="B2" s="20"/>
      <c r="C2" s="20"/>
      <c r="D2" s="20"/>
      <c r="E2" s="20"/>
      <c r="F2" s="20"/>
      <c r="G2" s="20"/>
      <c r="H2" s="20"/>
      <c r="I2" s="20"/>
      <c r="J2" s="20"/>
    </row>
    <row r="4" spans="1:10" x14ac:dyDescent="0.25">
      <c r="A4" s="3" t="s">
        <v>14</v>
      </c>
      <c r="B4" s="3" t="s">
        <v>15</v>
      </c>
      <c r="C4" s="3" t="s">
        <v>16</v>
      </c>
      <c r="D4" s="3" t="s">
        <v>3</v>
      </c>
      <c r="E4" s="3" t="s">
        <v>17</v>
      </c>
      <c r="F4" s="3" t="s">
        <v>18</v>
      </c>
      <c r="G4" s="3" t="s">
        <v>19</v>
      </c>
      <c r="H4" s="3" t="s">
        <v>20</v>
      </c>
      <c r="I4" s="3" t="s">
        <v>8</v>
      </c>
      <c r="J4" s="3" t="s">
        <v>9</v>
      </c>
    </row>
    <row r="5" spans="1:10" ht="43.5" customHeight="1" x14ac:dyDescent="0.25">
      <c r="A5" s="4">
        <f t="shared" ref="A5:A14" ca="1" si="0">IF(B5="","",TODAY())</f>
        <v>46296</v>
      </c>
      <c r="B5" s="5" t="s">
        <v>21</v>
      </c>
      <c r="C5" s="5" t="s">
        <v>22</v>
      </c>
      <c r="D5" s="5" t="s">
        <v>23</v>
      </c>
      <c r="E5" s="5">
        <v>1</v>
      </c>
      <c r="F5" s="6">
        <v>1500</v>
      </c>
      <c r="G5" s="6">
        <v>1000</v>
      </c>
      <c r="H5" s="6">
        <f t="shared" ref="H5:H68" si="1">IF(F5="","",MAX(F5-G5,0))</f>
        <v>500</v>
      </c>
      <c r="I5" s="5" t="str">
        <f t="shared" ref="I5:I68" si="2">IF(F5="","",IF(H5=0,"PAGADO","CRÉDITO"))</f>
        <v>CRÉDITO</v>
      </c>
      <c r="J5" s="7" t="s">
        <v>24</v>
      </c>
    </row>
    <row r="6" spans="1:10" x14ac:dyDescent="0.25">
      <c r="A6" s="4">
        <f t="shared" ca="1" si="0"/>
        <v>46296</v>
      </c>
      <c r="B6" s="5" t="s">
        <v>25</v>
      </c>
      <c r="C6" s="5" t="s">
        <v>26</v>
      </c>
      <c r="D6" s="5" t="s">
        <v>27</v>
      </c>
      <c r="E6" s="5">
        <v>2</v>
      </c>
      <c r="F6" s="6">
        <v>410</v>
      </c>
      <c r="G6" s="6">
        <v>410</v>
      </c>
      <c r="H6" s="6">
        <f t="shared" si="1"/>
        <v>0</v>
      </c>
      <c r="I6" s="5" t="str">
        <f t="shared" si="2"/>
        <v>PAGADO</v>
      </c>
      <c r="J6" s="5" t="s">
        <v>28</v>
      </c>
    </row>
    <row r="7" spans="1:10" x14ac:dyDescent="0.25">
      <c r="A7" s="4">
        <f t="shared" ca="1" si="0"/>
        <v>46296</v>
      </c>
      <c r="B7" s="5" t="s">
        <v>29</v>
      </c>
      <c r="C7" s="5" t="s">
        <v>26</v>
      </c>
      <c r="D7" s="5" t="s">
        <v>10</v>
      </c>
      <c r="E7" s="5">
        <v>1</v>
      </c>
      <c r="F7" s="6">
        <v>185</v>
      </c>
      <c r="G7" s="6">
        <v>185</v>
      </c>
      <c r="H7" s="6">
        <f t="shared" si="1"/>
        <v>0</v>
      </c>
      <c r="I7" s="5" t="str">
        <f t="shared" si="2"/>
        <v>PAGADO</v>
      </c>
      <c r="J7" s="5" t="s">
        <v>28</v>
      </c>
    </row>
    <row r="8" spans="1:10" x14ac:dyDescent="0.25">
      <c r="A8" s="4">
        <f t="shared" ca="1" si="0"/>
        <v>46296</v>
      </c>
      <c r="B8" s="5" t="s">
        <v>30</v>
      </c>
      <c r="C8" s="5" t="s">
        <v>26</v>
      </c>
      <c r="D8" s="5" t="s">
        <v>10</v>
      </c>
      <c r="E8" s="5">
        <v>1</v>
      </c>
      <c r="F8" s="6">
        <v>185</v>
      </c>
      <c r="G8" s="6">
        <v>185</v>
      </c>
      <c r="H8" s="6">
        <f t="shared" si="1"/>
        <v>0</v>
      </c>
      <c r="I8" s="5" t="str">
        <f t="shared" si="2"/>
        <v>PAGADO</v>
      </c>
      <c r="J8" s="5" t="s">
        <v>28</v>
      </c>
    </row>
    <row r="9" spans="1:10" x14ac:dyDescent="0.25">
      <c r="A9" s="4">
        <f t="shared" ca="1" si="0"/>
        <v>46296</v>
      </c>
      <c r="B9" s="5" t="s">
        <v>31</v>
      </c>
      <c r="C9" s="5" t="s">
        <v>26</v>
      </c>
      <c r="D9" s="5" t="s">
        <v>89</v>
      </c>
      <c r="E9" s="5">
        <v>1</v>
      </c>
      <c r="F9" s="6">
        <v>275</v>
      </c>
      <c r="G9" s="6">
        <v>275</v>
      </c>
      <c r="H9" s="6">
        <f t="shared" si="1"/>
        <v>0</v>
      </c>
      <c r="I9" s="5" t="str">
        <f t="shared" si="2"/>
        <v>PAGADO</v>
      </c>
      <c r="J9" s="5" t="s">
        <v>28</v>
      </c>
    </row>
    <row r="10" spans="1:10" x14ac:dyDescent="0.25">
      <c r="A10" s="4">
        <f t="shared" ca="1" si="0"/>
        <v>46296</v>
      </c>
      <c r="B10" s="5" t="s">
        <v>32</v>
      </c>
      <c r="C10" s="5" t="s">
        <v>26</v>
      </c>
      <c r="D10" s="5" t="s">
        <v>33</v>
      </c>
      <c r="E10" s="5">
        <v>1</v>
      </c>
      <c r="F10" s="6">
        <v>325</v>
      </c>
      <c r="G10" s="6">
        <v>325</v>
      </c>
      <c r="H10" s="6">
        <f t="shared" si="1"/>
        <v>0</v>
      </c>
      <c r="I10" s="5" t="str">
        <f t="shared" si="2"/>
        <v>PAGADO</v>
      </c>
      <c r="J10" s="5" t="s">
        <v>28</v>
      </c>
    </row>
    <row r="11" spans="1:10" x14ac:dyDescent="0.25">
      <c r="A11" s="4">
        <f t="shared" ca="1" si="0"/>
        <v>46296</v>
      </c>
      <c r="B11" s="5" t="s">
        <v>34</v>
      </c>
      <c r="C11" s="5" t="s">
        <v>26</v>
      </c>
      <c r="D11" s="5" t="s">
        <v>35</v>
      </c>
      <c r="E11" s="5">
        <v>1</v>
      </c>
      <c r="F11" s="6">
        <v>110</v>
      </c>
      <c r="G11" s="6">
        <v>110</v>
      </c>
      <c r="H11" s="6">
        <f t="shared" si="1"/>
        <v>0</v>
      </c>
      <c r="I11" s="5" t="str">
        <f t="shared" si="2"/>
        <v>PAGADO</v>
      </c>
      <c r="J11" s="5" t="s">
        <v>28</v>
      </c>
    </row>
    <row r="12" spans="1:10" x14ac:dyDescent="0.25">
      <c r="A12" s="4">
        <f t="shared" ca="1" si="0"/>
        <v>46296</v>
      </c>
      <c r="B12" s="5" t="s">
        <v>36</v>
      </c>
      <c r="C12" s="5" t="s">
        <v>37</v>
      </c>
      <c r="D12" s="5" t="s">
        <v>38</v>
      </c>
      <c r="E12" s="5">
        <v>1</v>
      </c>
      <c r="F12" s="6">
        <v>450</v>
      </c>
      <c r="G12" s="6">
        <v>450</v>
      </c>
      <c r="H12" s="6">
        <f t="shared" si="1"/>
        <v>0</v>
      </c>
      <c r="I12" s="5" t="str">
        <f t="shared" si="2"/>
        <v>PAGADO</v>
      </c>
      <c r="J12" s="5" t="s">
        <v>28</v>
      </c>
    </row>
    <row r="13" spans="1:10" x14ac:dyDescent="0.25">
      <c r="A13" s="4">
        <f t="shared" ca="1" si="0"/>
        <v>46296</v>
      </c>
      <c r="B13" s="5" t="s">
        <v>39</v>
      </c>
      <c r="C13" s="5" t="s">
        <v>26</v>
      </c>
      <c r="D13" s="5" t="s">
        <v>33</v>
      </c>
      <c r="E13" s="5">
        <v>1</v>
      </c>
      <c r="F13" s="6">
        <v>325</v>
      </c>
      <c r="G13" s="6">
        <v>325</v>
      </c>
      <c r="H13" s="6">
        <f t="shared" si="1"/>
        <v>0</v>
      </c>
      <c r="I13" s="5" t="str">
        <f t="shared" si="2"/>
        <v>PAGADO</v>
      </c>
      <c r="J13" s="5" t="s">
        <v>28</v>
      </c>
    </row>
    <row r="14" spans="1:10" x14ac:dyDescent="0.25">
      <c r="A14" s="4">
        <f t="shared" ca="1" si="0"/>
        <v>46296</v>
      </c>
      <c r="B14" s="5" t="s">
        <v>40</v>
      </c>
      <c r="C14" s="5" t="s">
        <v>26</v>
      </c>
      <c r="D14" s="5" t="s">
        <v>41</v>
      </c>
      <c r="E14" s="5">
        <v>1</v>
      </c>
      <c r="F14" s="6">
        <v>145</v>
      </c>
      <c r="G14" s="6">
        <v>145</v>
      </c>
      <c r="H14" s="6">
        <f t="shared" si="1"/>
        <v>0</v>
      </c>
      <c r="I14" s="5" t="str">
        <f t="shared" si="2"/>
        <v>PAGADO</v>
      </c>
      <c r="J14" s="5" t="s">
        <v>28</v>
      </c>
    </row>
    <row r="15" spans="1:10" x14ac:dyDescent="0.25">
      <c r="A15" s="4">
        <v>46289</v>
      </c>
      <c r="B15" s="5" t="s">
        <v>42</v>
      </c>
      <c r="C15" s="5" t="s">
        <v>26</v>
      </c>
      <c r="D15" s="5" t="s">
        <v>41</v>
      </c>
      <c r="E15" s="5">
        <v>1</v>
      </c>
      <c r="F15" s="6">
        <v>145</v>
      </c>
      <c r="G15" s="6">
        <v>145</v>
      </c>
      <c r="H15" s="6">
        <f t="shared" si="1"/>
        <v>0</v>
      </c>
      <c r="I15" s="5" t="str">
        <f t="shared" si="2"/>
        <v>PAGADO</v>
      </c>
      <c r="J15" s="5" t="s">
        <v>28</v>
      </c>
    </row>
    <row r="16" spans="1:10" x14ac:dyDescent="0.25">
      <c r="A16" s="4">
        <v>46292</v>
      </c>
      <c r="B16" s="5" t="s">
        <v>91</v>
      </c>
      <c r="C16" s="5" t="s">
        <v>37</v>
      </c>
      <c r="D16" s="5" t="s">
        <v>33</v>
      </c>
      <c r="E16" s="5">
        <v>1</v>
      </c>
      <c r="F16" s="6">
        <v>695</v>
      </c>
      <c r="G16" s="6">
        <v>695</v>
      </c>
      <c r="H16" s="6">
        <f t="shared" si="1"/>
        <v>0</v>
      </c>
      <c r="I16" s="5" t="str">
        <f t="shared" si="2"/>
        <v>PAGADO</v>
      </c>
      <c r="J16" s="5" t="s">
        <v>28</v>
      </c>
    </row>
    <row r="17" spans="1:10" x14ac:dyDescent="0.25">
      <c r="A17" s="4">
        <f t="shared" ref="A17:A80" ca="1" si="3">IF(B17="","",TODAY())</f>
        <v>46296</v>
      </c>
      <c r="B17" s="5" t="s">
        <v>43</v>
      </c>
      <c r="C17" s="5" t="s">
        <v>26</v>
      </c>
      <c r="D17" s="5" t="s">
        <v>44</v>
      </c>
      <c r="E17" s="5">
        <v>1</v>
      </c>
      <c r="F17" s="6">
        <v>270</v>
      </c>
      <c r="G17" s="6"/>
      <c r="H17" s="6">
        <f t="shared" si="1"/>
        <v>270</v>
      </c>
      <c r="I17" s="5" t="str">
        <f t="shared" si="2"/>
        <v>CRÉDITO</v>
      </c>
      <c r="J17" s="5" t="s">
        <v>45</v>
      </c>
    </row>
    <row r="18" spans="1:10" x14ac:dyDescent="0.25">
      <c r="A18" s="4">
        <f t="shared" ca="1" si="3"/>
        <v>46296</v>
      </c>
      <c r="B18" s="5" t="s">
        <v>43</v>
      </c>
      <c r="C18" s="5" t="s">
        <v>26</v>
      </c>
      <c r="D18" s="5" t="s">
        <v>46</v>
      </c>
      <c r="E18" s="14">
        <v>1</v>
      </c>
      <c r="F18" s="6">
        <v>160</v>
      </c>
      <c r="G18" s="6"/>
      <c r="H18" s="6">
        <f t="shared" si="1"/>
        <v>160</v>
      </c>
      <c r="I18" s="5" t="str">
        <f t="shared" si="2"/>
        <v>CRÉDITO</v>
      </c>
      <c r="J18" s="5" t="s">
        <v>45</v>
      </c>
    </row>
    <row r="19" spans="1:10" x14ac:dyDescent="0.25">
      <c r="A19" s="4">
        <f t="shared" ca="1" si="3"/>
        <v>46296</v>
      </c>
      <c r="B19" s="5" t="s">
        <v>43</v>
      </c>
      <c r="C19" s="5" t="s">
        <v>26</v>
      </c>
      <c r="D19" s="5" t="s">
        <v>47</v>
      </c>
      <c r="E19" s="5">
        <v>2</v>
      </c>
      <c r="F19" s="6">
        <v>290</v>
      </c>
      <c r="G19" s="6"/>
      <c r="H19" s="6">
        <f t="shared" si="1"/>
        <v>290</v>
      </c>
      <c r="I19" s="5" t="str">
        <f t="shared" si="2"/>
        <v>CRÉDITO</v>
      </c>
      <c r="J19" s="5" t="s">
        <v>45</v>
      </c>
    </row>
    <row r="20" spans="1:10" x14ac:dyDescent="0.25">
      <c r="A20" s="4">
        <f t="shared" ca="1" si="3"/>
        <v>46296</v>
      </c>
      <c r="B20" s="5" t="s">
        <v>43</v>
      </c>
      <c r="C20" s="5" t="s">
        <v>26</v>
      </c>
      <c r="D20" s="5" t="s">
        <v>48</v>
      </c>
      <c r="E20" s="5">
        <v>1</v>
      </c>
      <c r="F20" s="6">
        <v>180</v>
      </c>
      <c r="G20" s="6"/>
      <c r="H20" s="6">
        <f t="shared" si="1"/>
        <v>180</v>
      </c>
      <c r="I20" s="5" t="str">
        <f t="shared" si="2"/>
        <v>CRÉDITO</v>
      </c>
      <c r="J20" s="5" t="s">
        <v>45</v>
      </c>
    </row>
    <row r="21" spans="1:10" x14ac:dyDescent="0.25">
      <c r="A21" s="4">
        <f t="shared" ca="1" si="3"/>
        <v>46296</v>
      </c>
      <c r="B21" s="5" t="s">
        <v>43</v>
      </c>
      <c r="C21" s="5" t="s">
        <v>26</v>
      </c>
      <c r="D21" s="5" t="s">
        <v>49</v>
      </c>
      <c r="E21" s="5">
        <v>1</v>
      </c>
      <c r="F21" s="6">
        <v>135</v>
      </c>
      <c r="G21" s="6"/>
      <c r="H21" s="6">
        <f t="shared" si="1"/>
        <v>135</v>
      </c>
      <c r="I21" s="5" t="str">
        <f t="shared" si="2"/>
        <v>CRÉDITO</v>
      </c>
      <c r="J21" s="5" t="s">
        <v>45</v>
      </c>
    </row>
    <row r="22" spans="1:10" x14ac:dyDescent="0.25">
      <c r="A22" s="4">
        <f t="shared" ca="1" si="3"/>
        <v>46296</v>
      </c>
      <c r="B22" s="5" t="s">
        <v>43</v>
      </c>
      <c r="C22" s="5" t="s">
        <v>26</v>
      </c>
      <c r="D22" s="5" t="s">
        <v>50</v>
      </c>
      <c r="E22" s="5">
        <v>1</v>
      </c>
      <c r="F22" s="6">
        <v>135</v>
      </c>
      <c r="G22" s="6"/>
      <c r="H22" s="6">
        <f t="shared" si="1"/>
        <v>135</v>
      </c>
      <c r="I22" s="5" t="str">
        <f t="shared" si="2"/>
        <v>CRÉDITO</v>
      </c>
      <c r="J22" s="5" t="s">
        <v>45</v>
      </c>
    </row>
    <row r="23" spans="1:10" x14ac:dyDescent="0.25">
      <c r="A23" s="4">
        <f t="shared" ca="1" si="3"/>
        <v>46296</v>
      </c>
      <c r="B23" s="5" t="s">
        <v>43</v>
      </c>
      <c r="C23" s="5" t="s">
        <v>26</v>
      </c>
      <c r="D23" s="5" t="s">
        <v>51</v>
      </c>
      <c r="E23" s="5">
        <v>1</v>
      </c>
      <c r="F23" s="6">
        <v>195</v>
      </c>
      <c r="G23" s="6"/>
      <c r="H23" s="6">
        <f t="shared" si="1"/>
        <v>195</v>
      </c>
      <c r="I23" s="5" t="str">
        <f t="shared" si="2"/>
        <v>CRÉDITO</v>
      </c>
      <c r="J23" s="5" t="s">
        <v>45</v>
      </c>
    </row>
    <row r="24" spans="1:10" x14ac:dyDescent="0.25">
      <c r="A24" s="4">
        <f t="shared" ca="1" si="3"/>
        <v>46296</v>
      </c>
      <c r="B24" s="5" t="s">
        <v>43</v>
      </c>
      <c r="C24" s="5" t="s">
        <v>26</v>
      </c>
      <c r="D24" s="5" t="s">
        <v>33</v>
      </c>
      <c r="E24" s="5">
        <v>1</v>
      </c>
      <c r="F24" s="6">
        <v>325</v>
      </c>
      <c r="G24" s="6"/>
      <c r="H24" s="6">
        <f t="shared" si="1"/>
        <v>325</v>
      </c>
      <c r="I24" s="5" t="str">
        <f t="shared" si="2"/>
        <v>CRÉDITO</v>
      </c>
      <c r="J24" s="5" t="s">
        <v>45</v>
      </c>
    </row>
    <row r="25" spans="1:10" x14ac:dyDescent="0.25">
      <c r="A25" s="4">
        <f t="shared" ca="1" si="3"/>
        <v>46296</v>
      </c>
      <c r="B25" s="5" t="s">
        <v>43</v>
      </c>
      <c r="C25" s="5" t="s">
        <v>26</v>
      </c>
      <c r="D25" s="5" t="s">
        <v>10</v>
      </c>
      <c r="E25" s="5">
        <v>1</v>
      </c>
      <c r="F25" s="6">
        <v>185</v>
      </c>
      <c r="G25" s="6"/>
      <c r="H25" s="6">
        <f t="shared" si="1"/>
        <v>185</v>
      </c>
      <c r="I25" s="5" t="str">
        <f t="shared" si="2"/>
        <v>CRÉDITO</v>
      </c>
      <c r="J25" s="5" t="s">
        <v>45</v>
      </c>
    </row>
    <row r="26" spans="1:10" x14ac:dyDescent="0.25">
      <c r="A26" s="4">
        <f t="shared" ca="1" si="3"/>
        <v>46296</v>
      </c>
      <c r="B26" s="5" t="s">
        <v>31</v>
      </c>
      <c r="C26" s="5" t="s">
        <v>26</v>
      </c>
      <c r="D26" s="5" t="s">
        <v>33</v>
      </c>
      <c r="E26" s="5">
        <v>1</v>
      </c>
      <c r="F26" s="6">
        <v>275</v>
      </c>
      <c r="G26" s="6">
        <v>275</v>
      </c>
      <c r="H26" s="6">
        <f t="shared" si="1"/>
        <v>0</v>
      </c>
      <c r="I26" s="5" t="str">
        <f t="shared" si="2"/>
        <v>PAGADO</v>
      </c>
      <c r="J26" s="5" t="s">
        <v>28</v>
      </c>
    </row>
    <row r="27" spans="1:10" x14ac:dyDescent="0.25">
      <c r="A27" s="4">
        <f t="shared" ca="1" si="3"/>
        <v>46296</v>
      </c>
      <c r="B27" s="5" t="s">
        <v>21</v>
      </c>
      <c r="C27" s="5" t="s">
        <v>22</v>
      </c>
      <c r="D27" s="5" t="s">
        <v>52</v>
      </c>
      <c r="E27" s="5">
        <v>1</v>
      </c>
      <c r="F27" s="6">
        <v>2760</v>
      </c>
      <c r="G27" s="6">
        <v>0</v>
      </c>
      <c r="H27" s="6">
        <f t="shared" si="1"/>
        <v>2760</v>
      </c>
      <c r="I27" s="5" t="str">
        <f t="shared" si="2"/>
        <v>CRÉDITO</v>
      </c>
      <c r="J27" s="5" t="s">
        <v>90</v>
      </c>
    </row>
    <row r="28" spans="1:10" x14ac:dyDescent="0.25">
      <c r="A28" s="4">
        <f t="shared" ca="1" si="3"/>
        <v>46296</v>
      </c>
      <c r="B28" s="5" t="s">
        <v>92</v>
      </c>
      <c r="C28" s="5" t="s">
        <v>22</v>
      </c>
      <c r="D28" s="5" t="s">
        <v>93</v>
      </c>
      <c r="E28" s="5">
        <v>1</v>
      </c>
      <c r="F28" s="6">
        <v>3800</v>
      </c>
      <c r="G28" s="6">
        <v>1266</v>
      </c>
      <c r="H28" s="6">
        <f t="shared" si="1"/>
        <v>2534</v>
      </c>
      <c r="I28" s="5" t="str">
        <f t="shared" si="2"/>
        <v>CRÉDITO</v>
      </c>
      <c r="J28" s="5" t="s">
        <v>94</v>
      </c>
    </row>
    <row r="29" spans="1:10" x14ac:dyDescent="0.25">
      <c r="A29" s="4" t="str">
        <f t="shared" ca="1" si="3"/>
        <v/>
      </c>
      <c r="B29" s="5"/>
      <c r="C29" s="5"/>
      <c r="D29" s="5"/>
      <c r="E29" s="5"/>
      <c r="F29" s="6"/>
      <c r="G29" s="6"/>
      <c r="H29" s="6" t="str">
        <f t="shared" si="1"/>
        <v/>
      </c>
      <c r="I29" s="5" t="str">
        <f t="shared" si="2"/>
        <v/>
      </c>
      <c r="J29" s="5"/>
    </row>
    <row r="30" spans="1:10" x14ac:dyDescent="0.25">
      <c r="A30" s="4" t="str">
        <f t="shared" ca="1" si="3"/>
        <v/>
      </c>
      <c r="B30" s="5"/>
      <c r="C30" s="5"/>
      <c r="D30" s="5"/>
      <c r="E30" s="5"/>
      <c r="F30" s="6"/>
      <c r="G30" s="6"/>
      <c r="H30" s="6" t="str">
        <f t="shared" si="1"/>
        <v/>
      </c>
      <c r="I30" s="5" t="str">
        <f t="shared" si="2"/>
        <v/>
      </c>
      <c r="J30" s="5"/>
    </row>
    <row r="31" spans="1:10" x14ac:dyDescent="0.25">
      <c r="A31" s="4" t="str">
        <f t="shared" ca="1" si="3"/>
        <v/>
      </c>
      <c r="B31" s="5"/>
      <c r="C31" s="5"/>
      <c r="D31" s="5"/>
      <c r="E31" s="5"/>
      <c r="F31" s="6"/>
      <c r="G31" s="6"/>
      <c r="H31" s="6" t="str">
        <f t="shared" si="1"/>
        <v/>
      </c>
      <c r="I31" s="5" t="str">
        <f t="shared" si="2"/>
        <v/>
      </c>
      <c r="J31" s="5"/>
    </row>
    <row r="32" spans="1:10" x14ac:dyDescent="0.25">
      <c r="A32" s="4" t="str">
        <f t="shared" ca="1" si="3"/>
        <v/>
      </c>
      <c r="B32" s="5"/>
      <c r="C32" s="5"/>
      <c r="D32" s="5"/>
      <c r="E32" s="5"/>
      <c r="F32" s="6"/>
      <c r="G32" s="6"/>
      <c r="H32" s="6" t="str">
        <f t="shared" si="1"/>
        <v/>
      </c>
      <c r="I32" s="5" t="str">
        <f t="shared" si="2"/>
        <v/>
      </c>
      <c r="J32" s="5"/>
    </row>
    <row r="33" spans="1:10" x14ac:dyDescent="0.25">
      <c r="A33" s="4" t="str">
        <f t="shared" ca="1" si="3"/>
        <v/>
      </c>
      <c r="B33" s="5"/>
      <c r="C33" s="5"/>
      <c r="D33" s="5"/>
      <c r="E33" s="5"/>
      <c r="F33" s="6"/>
      <c r="G33" s="6"/>
      <c r="H33" s="6" t="str">
        <f t="shared" si="1"/>
        <v/>
      </c>
      <c r="I33" s="5" t="str">
        <f t="shared" si="2"/>
        <v/>
      </c>
      <c r="J33" s="5"/>
    </row>
    <row r="34" spans="1:10" x14ac:dyDescent="0.25">
      <c r="A34" s="4" t="str">
        <f t="shared" ca="1" si="3"/>
        <v/>
      </c>
      <c r="B34" s="5"/>
      <c r="C34" s="5"/>
      <c r="D34" s="5"/>
      <c r="E34" s="5"/>
      <c r="F34" s="6"/>
      <c r="G34" s="6"/>
      <c r="H34" s="6" t="str">
        <f t="shared" si="1"/>
        <v/>
      </c>
      <c r="I34" s="5" t="str">
        <f t="shared" si="2"/>
        <v/>
      </c>
      <c r="J34" s="5"/>
    </row>
    <row r="35" spans="1:10" x14ac:dyDescent="0.25">
      <c r="A35" s="4" t="str">
        <f t="shared" ca="1" si="3"/>
        <v/>
      </c>
      <c r="B35" s="5"/>
      <c r="C35" s="5"/>
      <c r="D35" s="5"/>
      <c r="E35" s="5"/>
      <c r="F35" s="6"/>
      <c r="G35" s="6"/>
      <c r="H35" s="6" t="str">
        <f t="shared" si="1"/>
        <v/>
      </c>
      <c r="I35" s="5" t="str">
        <f t="shared" si="2"/>
        <v/>
      </c>
      <c r="J35" s="5"/>
    </row>
    <row r="36" spans="1:10" x14ac:dyDescent="0.25">
      <c r="A36" s="4" t="str">
        <f t="shared" ca="1" si="3"/>
        <v/>
      </c>
      <c r="B36" s="5"/>
      <c r="C36" s="5"/>
      <c r="D36" s="5"/>
      <c r="E36" s="5"/>
      <c r="F36" s="6"/>
      <c r="G36" s="6"/>
      <c r="H36" s="6" t="str">
        <f t="shared" si="1"/>
        <v/>
      </c>
      <c r="I36" s="5" t="str">
        <f t="shared" si="2"/>
        <v/>
      </c>
      <c r="J36" s="5"/>
    </row>
    <row r="37" spans="1:10" x14ac:dyDescent="0.25">
      <c r="A37" s="4" t="str">
        <f t="shared" ca="1" si="3"/>
        <v/>
      </c>
      <c r="B37" s="5"/>
      <c r="C37" s="5"/>
      <c r="D37" s="5"/>
      <c r="E37" s="5"/>
      <c r="F37" s="6"/>
      <c r="G37" s="6"/>
      <c r="H37" s="6" t="str">
        <f t="shared" si="1"/>
        <v/>
      </c>
      <c r="I37" s="5" t="str">
        <f t="shared" si="2"/>
        <v/>
      </c>
      <c r="J37" s="5"/>
    </row>
    <row r="38" spans="1:10" x14ac:dyDescent="0.25">
      <c r="A38" s="4" t="str">
        <f t="shared" ca="1" si="3"/>
        <v/>
      </c>
      <c r="B38" s="5"/>
      <c r="C38" s="5"/>
      <c r="D38" s="5"/>
      <c r="E38" s="5"/>
      <c r="F38" s="6"/>
      <c r="G38" s="6"/>
      <c r="H38" s="6" t="str">
        <f t="shared" si="1"/>
        <v/>
      </c>
      <c r="I38" s="5" t="str">
        <f t="shared" si="2"/>
        <v/>
      </c>
      <c r="J38" s="5"/>
    </row>
    <row r="39" spans="1:10" x14ac:dyDescent="0.25">
      <c r="A39" s="4" t="str">
        <f t="shared" ca="1" si="3"/>
        <v/>
      </c>
      <c r="B39" s="5"/>
      <c r="C39" s="5"/>
      <c r="D39" s="5"/>
      <c r="E39" s="5"/>
      <c r="F39" s="6"/>
      <c r="G39" s="6"/>
      <c r="H39" s="6" t="str">
        <f t="shared" si="1"/>
        <v/>
      </c>
      <c r="I39" s="5" t="str">
        <f t="shared" si="2"/>
        <v/>
      </c>
      <c r="J39" s="5"/>
    </row>
    <row r="40" spans="1:10" x14ac:dyDescent="0.25">
      <c r="A40" s="4" t="str">
        <f t="shared" ca="1" si="3"/>
        <v/>
      </c>
      <c r="B40" s="5"/>
      <c r="C40" s="5"/>
      <c r="D40" s="5"/>
      <c r="E40" s="5"/>
      <c r="F40" s="6"/>
      <c r="G40" s="6"/>
      <c r="H40" s="6" t="str">
        <f t="shared" si="1"/>
        <v/>
      </c>
      <c r="I40" s="5" t="str">
        <f t="shared" si="2"/>
        <v/>
      </c>
      <c r="J40" s="5"/>
    </row>
    <row r="41" spans="1:10" x14ac:dyDescent="0.25">
      <c r="A41" s="4" t="str">
        <f t="shared" ca="1" si="3"/>
        <v/>
      </c>
      <c r="B41" s="5"/>
      <c r="C41" s="5"/>
      <c r="D41" s="5"/>
      <c r="E41" s="5"/>
      <c r="F41" s="6"/>
      <c r="G41" s="6"/>
      <c r="H41" s="6" t="str">
        <f t="shared" si="1"/>
        <v/>
      </c>
      <c r="I41" s="5" t="str">
        <f t="shared" si="2"/>
        <v/>
      </c>
      <c r="J41" s="5"/>
    </row>
    <row r="42" spans="1:10" x14ac:dyDescent="0.25">
      <c r="A42" s="4" t="str">
        <f t="shared" ca="1" si="3"/>
        <v/>
      </c>
      <c r="B42" s="5"/>
      <c r="C42" s="5"/>
      <c r="D42" s="5"/>
      <c r="E42" s="5"/>
      <c r="F42" s="6"/>
      <c r="G42" s="6"/>
      <c r="H42" s="6" t="str">
        <f t="shared" si="1"/>
        <v/>
      </c>
      <c r="I42" s="5" t="str">
        <f t="shared" si="2"/>
        <v/>
      </c>
      <c r="J42" s="5"/>
    </row>
    <row r="43" spans="1:10" x14ac:dyDescent="0.25">
      <c r="A43" s="4" t="str">
        <f t="shared" ca="1" si="3"/>
        <v/>
      </c>
      <c r="B43" s="5"/>
      <c r="C43" s="5"/>
      <c r="D43" s="5"/>
      <c r="E43" s="5"/>
      <c r="F43" s="6"/>
      <c r="G43" s="6"/>
      <c r="H43" s="6" t="str">
        <f t="shared" si="1"/>
        <v/>
      </c>
      <c r="I43" s="5" t="str">
        <f t="shared" si="2"/>
        <v/>
      </c>
      <c r="J43" s="5"/>
    </row>
    <row r="44" spans="1:10" x14ac:dyDescent="0.25">
      <c r="A44" s="4" t="str">
        <f t="shared" ca="1" si="3"/>
        <v/>
      </c>
      <c r="B44" s="5"/>
      <c r="C44" s="5"/>
      <c r="D44" s="5"/>
      <c r="E44" s="5"/>
      <c r="F44" s="6"/>
      <c r="G44" s="6"/>
      <c r="H44" s="6" t="str">
        <f t="shared" si="1"/>
        <v/>
      </c>
      <c r="I44" s="5" t="str">
        <f t="shared" si="2"/>
        <v/>
      </c>
      <c r="J44" s="5"/>
    </row>
    <row r="45" spans="1:10" x14ac:dyDescent="0.25">
      <c r="A45" s="4" t="str">
        <f t="shared" ca="1" si="3"/>
        <v/>
      </c>
      <c r="B45" s="5"/>
      <c r="C45" s="5"/>
      <c r="D45" s="5"/>
      <c r="E45" s="5"/>
      <c r="F45" s="6"/>
      <c r="G45" s="6"/>
      <c r="H45" s="6" t="str">
        <f t="shared" si="1"/>
        <v/>
      </c>
      <c r="I45" s="5" t="str">
        <f t="shared" si="2"/>
        <v/>
      </c>
      <c r="J45" s="5"/>
    </row>
    <row r="46" spans="1:10" x14ac:dyDescent="0.25">
      <c r="A46" s="4" t="str">
        <f t="shared" ca="1" si="3"/>
        <v/>
      </c>
      <c r="B46" s="5"/>
      <c r="C46" s="5"/>
      <c r="D46" s="5"/>
      <c r="E46" s="5"/>
      <c r="F46" s="6"/>
      <c r="G46" s="6"/>
      <c r="H46" s="6" t="str">
        <f t="shared" si="1"/>
        <v/>
      </c>
      <c r="I46" s="5" t="str">
        <f t="shared" si="2"/>
        <v/>
      </c>
      <c r="J46" s="5"/>
    </row>
    <row r="47" spans="1:10" x14ac:dyDescent="0.25">
      <c r="A47" s="4" t="str">
        <f t="shared" ca="1" si="3"/>
        <v/>
      </c>
      <c r="B47" s="5"/>
      <c r="C47" s="5"/>
      <c r="D47" s="5"/>
      <c r="E47" s="5"/>
      <c r="F47" s="6"/>
      <c r="G47" s="6"/>
      <c r="H47" s="6" t="str">
        <f t="shared" si="1"/>
        <v/>
      </c>
      <c r="I47" s="5" t="str">
        <f t="shared" si="2"/>
        <v/>
      </c>
      <c r="J47" s="5"/>
    </row>
    <row r="48" spans="1:10" x14ac:dyDescent="0.25">
      <c r="A48" s="4" t="str">
        <f t="shared" ca="1" si="3"/>
        <v/>
      </c>
      <c r="B48" s="5"/>
      <c r="C48" s="5"/>
      <c r="D48" s="5"/>
      <c r="E48" s="5"/>
      <c r="F48" s="6"/>
      <c r="G48" s="6"/>
      <c r="H48" s="6" t="str">
        <f t="shared" si="1"/>
        <v/>
      </c>
      <c r="I48" s="5" t="str">
        <f t="shared" si="2"/>
        <v/>
      </c>
      <c r="J48" s="5"/>
    </row>
    <row r="49" spans="1:10" x14ac:dyDescent="0.25">
      <c r="A49" s="4" t="str">
        <f t="shared" ca="1" si="3"/>
        <v/>
      </c>
      <c r="B49" s="5"/>
      <c r="C49" s="5"/>
      <c r="D49" s="5"/>
      <c r="E49" s="5"/>
      <c r="F49" s="6"/>
      <c r="G49" s="6"/>
      <c r="H49" s="6" t="str">
        <f t="shared" si="1"/>
        <v/>
      </c>
      <c r="I49" s="5" t="str">
        <f t="shared" si="2"/>
        <v/>
      </c>
      <c r="J49" s="5"/>
    </row>
    <row r="50" spans="1:10" x14ac:dyDescent="0.25">
      <c r="A50" s="4" t="str">
        <f t="shared" ca="1" si="3"/>
        <v/>
      </c>
      <c r="B50" s="5"/>
      <c r="C50" s="5"/>
      <c r="D50" s="5"/>
      <c r="E50" s="5"/>
      <c r="F50" s="6"/>
      <c r="G50" s="6"/>
      <c r="H50" s="6" t="str">
        <f t="shared" si="1"/>
        <v/>
      </c>
      <c r="I50" s="5" t="str">
        <f t="shared" si="2"/>
        <v/>
      </c>
      <c r="J50" s="5"/>
    </row>
    <row r="51" spans="1:10" x14ac:dyDescent="0.25">
      <c r="A51" s="4" t="str">
        <f t="shared" ca="1" si="3"/>
        <v/>
      </c>
      <c r="B51" s="5"/>
      <c r="C51" s="5"/>
      <c r="D51" s="5"/>
      <c r="E51" s="5"/>
      <c r="F51" s="6"/>
      <c r="G51" s="6"/>
      <c r="H51" s="6" t="str">
        <f t="shared" si="1"/>
        <v/>
      </c>
      <c r="I51" s="5" t="str">
        <f t="shared" si="2"/>
        <v/>
      </c>
      <c r="J51" s="5"/>
    </row>
    <row r="52" spans="1:10" x14ac:dyDescent="0.25">
      <c r="A52" s="4" t="str">
        <f t="shared" ca="1" si="3"/>
        <v/>
      </c>
      <c r="B52" s="5"/>
      <c r="C52" s="5"/>
      <c r="D52" s="5"/>
      <c r="E52" s="5"/>
      <c r="F52" s="6"/>
      <c r="G52" s="6"/>
      <c r="H52" s="6" t="str">
        <f t="shared" si="1"/>
        <v/>
      </c>
      <c r="I52" s="5" t="str">
        <f t="shared" si="2"/>
        <v/>
      </c>
      <c r="J52" s="5"/>
    </row>
    <row r="53" spans="1:10" x14ac:dyDescent="0.25">
      <c r="A53" s="4" t="str">
        <f t="shared" ca="1" si="3"/>
        <v/>
      </c>
      <c r="B53" s="5"/>
      <c r="C53" s="5"/>
      <c r="D53" s="5"/>
      <c r="E53" s="5"/>
      <c r="F53" s="6"/>
      <c r="G53" s="6"/>
      <c r="H53" s="6" t="str">
        <f t="shared" si="1"/>
        <v/>
      </c>
      <c r="I53" s="5" t="str">
        <f t="shared" si="2"/>
        <v/>
      </c>
      <c r="J53" s="5"/>
    </row>
    <row r="54" spans="1:10" x14ac:dyDescent="0.25">
      <c r="A54" s="4" t="str">
        <f t="shared" ca="1" si="3"/>
        <v/>
      </c>
      <c r="B54" s="5"/>
      <c r="C54" s="5"/>
      <c r="D54" s="5"/>
      <c r="E54" s="5"/>
      <c r="F54" s="6"/>
      <c r="G54" s="6"/>
      <c r="H54" s="6" t="str">
        <f t="shared" si="1"/>
        <v/>
      </c>
      <c r="I54" s="5" t="str">
        <f t="shared" si="2"/>
        <v/>
      </c>
      <c r="J54" s="5"/>
    </row>
    <row r="55" spans="1:10" x14ac:dyDescent="0.25">
      <c r="A55" s="4" t="str">
        <f t="shared" ca="1" si="3"/>
        <v/>
      </c>
      <c r="B55" s="5"/>
      <c r="C55" s="5"/>
      <c r="D55" s="5"/>
      <c r="E55" s="5"/>
      <c r="F55" s="6"/>
      <c r="G55" s="6"/>
      <c r="H55" s="6" t="str">
        <f t="shared" si="1"/>
        <v/>
      </c>
      <c r="I55" s="5" t="str">
        <f t="shared" si="2"/>
        <v/>
      </c>
      <c r="J55" s="5"/>
    </row>
    <row r="56" spans="1:10" x14ac:dyDescent="0.25">
      <c r="A56" s="4" t="str">
        <f t="shared" ca="1" si="3"/>
        <v/>
      </c>
      <c r="B56" s="5"/>
      <c r="C56" s="5"/>
      <c r="D56" s="5"/>
      <c r="E56" s="5"/>
      <c r="F56" s="6"/>
      <c r="G56" s="6"/>
      <c r="H56" s="6" t="str">
        <f t="shared" si="1"/>
        <v/>
      </c>
      <c r="I56" s="5" t="str">
        <f t="shared" si="2"/>
        <v/>
      </c>
      <c r="J56" s="5"/>
    </row>
    <row r="57" spans="1:10" x14ac:dyDescent="0.25">
      <c r="A57" s="4" t="str">
        <f t="shared" ca="1" si="3"/>
        <v/>
      </c>
      <c r="B57" s="5"/>
      <c r="C57" s="5"/>
      <c r="D57" s="5"/>
      <c r="E57" s="5"/>
      <c r="F57" s="6"/>
      <c r="G57" s="6"/>
      <c r="H57" s="6" t="str">
        <f t="shared" si="1"/>
        <v/>
      </c>
      <c r="I57" s="5" t="str">
        <f t="shared" si="2"/>
        <v/>
      </c>
      <c r="J57" s="5"/>
    </row>
    <row r="58" spans="1:10" x14ac:dyDescent="0.25">
      <c r="A58" s="4" t="str">
        <f t="shared" ca="1" si="3"/>
        <v/>
      </c>
      <c r="B58" s="5"/>
      <c r="C58" s="5"/>
      <c r="D58" s="5"/>
      <c r="E58" s="5"/>
      <c r="F58" s="6"/>
      <c r="G58" s="6"/>
      <c r="H58" s="6" t="str">
        <f t="shared" si="1"/>
        <v/>
      </c>
      <c r="I58" s="5" t="str">
        <f t="shared" si="2"/>
        <v/>
      </c>
      <c r="J58" s="5"/>
    </row>
    <row r="59" spans="1:10" x14ac:dyDescent="0.25">
      <c r="A59" s="4" t="str">
        <f t="shared" ca="1" si="3"/>
        <v/>
      </c>
      <c r="B59" s="5"/>
      <c r="C59" s="5"/>
      <c r="D59" s="5"/>
      <c r="E59" s="5"/>
      <c r="F59" s="6"/>
      <c r="G59" s="6"/>
      <c r="H59" s="6" t="str">
        <f t="shared" si="1"/>
        <v/>
      </c>
      <c r="I59" s="5" t="str">
        <f t="shared" si="2"/>
        <v/>
      </c>
      <c r="J59" s="5"/>
    </row>
    <row r="60" spans="1:10" x14ac:dyDescent="0.25">
      <c r="A60" s="4" t="str">
        <f t="shared" ca="1" si="3"/>
        <v/>
      </c>
      <c r="B60" s="5"/>
      <c r="C60" s="5"/>
      <c r="D60" s="5"/>
      <c r="E60" s="5"/>
      <c r="F60" s="6"/>
      <c r="G60" s="6"/>
      <c r="H60" s="6" t="str">
        <f t="shared" si="1"/>
        <v/>
      </c>
      <c r="I60" s="5" t="str">
        <f t="shared" si="2"/>
        <v/>
      </c>
      <c r="J60" s="5"/>
    </row>
    <row r="61" spans="1:10" x14ac:dyDescent="0.25">
      <c r="A61" s="4" t="str">
        <f t="shared" ca="1" si="3"/>
        <v/>
      </c>
      <c r="B61" s="5"/>
      <c r="C61" s="5"/>
      <c r="D61" s="5"/>
      <c r="E61" s="5"/>
      <c r="F61" s="6"/>
      <c r="G61" s="6"/>
      <c r="H61" s="6" t="str">
        <f t="shared" si="1"/>
        <v/>
      </c>
      <c r="I61" s="5" t="str">
        <f t="shared" si="2"/>
        <v/>
      </c>
      <c r="J61" s="5"/>
    </row>
    <row r="62" spans="1:10" x14ac:dyDescent="0.25">
      <c r="A62" s="4" t="str">
        <f t="shared" ca="1" si="3"/>
        <v/>
      </c>
      <c r="B62" s="5"/>
      <c r="C62" s="5"/>
      <c r="D62" s="5"/>
      <c r="E62" s="5"/>
      <c r="F62" s="6"/>
      <c r="G62" s="6"/>
      <c r="H62" s="6" t="str">
        <f t="shared" si="1"/>
        <v/>
      </c>
      <c r="I62" s="5" t="str">
        <f t="shared" si="2"/>
        <v/>
      </c>
      <c r="J62" s="5"/>
    </row>
    <row r="63" spans="1:10" x14ac:dyDescent="0.25">
      <c r="A63" s="4" t="str">
        <f t="shared" ca="1" si="3"/>
        <v/>
      </c>
      <c r="B63" s="5"/>
      <c r="C63" s="5"/>
      <c r="D63" s="5"/>
      <c r="E63" s="5"/>
      <c r="F63" s="6"/>
      <c r="G63" s="6"/>
      <c r="H63" s="6" t="str">
        <f t="shared" si="1"/>
        <v/>
      </c>
      <c r="I63" s="5" t="str">
        <f t="shared" si="2"/>
        <v/>
      </c>
      <c r="J63" s="5"/>
    </row>
    <row r="64" spans="1:10" x14ac:dyDescent="0.25">
      <c r="A64" s="4" t="str">
        <f t="shared" ca="1" si="3"/>
        <v/>
      </c>
      <c r="B64" s="5"/>
      <c r="C64" s="5"/>
      <c r="D64" s="5"/>
      <c r="E64" s="5"/>
      <c r="F64" s="6"/>
      <c r="G64" s="6"/>
      <c r="H64" s="6" t="str">
        <f t="shared" si="1"/>
        <v/>
      </c>
      <c r="I64" s="5" t="str">
        <f t="shared" si="2"/>
        <v/>
      </c>
      <c r="J64" s="5"/>
    </row>
    <row r="65" spans="1:10" x14ac:dyDescent="0.25">
      <c r="A65" s="4" t="str">
        <f t="shared" ca="1" si="3"/>
        <v/>
      </c>
      <c r="B65" s="5"/>
      <c r="C65" s="5"/>
      <c r="D65" s="5"/>
      <c r="E65" s="5"/>
      <c r="F65" s="6"/>
      <c r="G65" s="6"/>
      <c r="H65" s="6" t="str">
        <f t="shared" si="1"/>
        <v/>
      </c>
      <c r="I65" s="5" t="str">
        <f t="shared" si="2"/>
        <v/>
      </c>
      <c r="J65" s="5"/>
    </row>
    <row r="66" spans="1:10" x14ac:dyDescent="0.25">
      <c r="A66" s="4" t="str">
        <f t="shared" ca="1" si="3"/>
        <v/>
      </c>
      <c r="B66" s="5"/>
      <c r="C66" s="5"/>
      <c r="D66" s="5"/>
      <c r="E66" s="5"/>
      <c r="F66" s="6"/>
      <c r="G66" s="6"/>
      <c r="H66" s="6" t="str">
        <f t="shared" si="1"/>
        <v/>
      </c>
      <c r="I66" s="5" t="str">
        <f t="shared" si="2"/>
        <v/>
      </c>
      <c r="J66" s="5"/>
    </row>
    <row r="67" spans="1:10" x14ac:dyDescent="0.25">
      <c r="A67" s="4" t="str">
        <f t="shared" ca="1" si="3"/>
        <v/>
      </c>
      <c r="B67" s="5"/>
      <c r="C67" s="5"/>
      <c r="D67" s="5"/>
      <c r="E67" s="5"/>
      <c r="F67" s="6"/>
      <c r="G67" s="6"/>
      <c r="H67" s="6" t="str">
        <f t="shared" si="1"/>
        <v/>
      </c>
      <c r="I67" s="5" t="str">
        <f t="shared" si="2"/>
        <v/>
      </c>
      <c r="J67" s="5"/>
    </row>
    <row r="68" spans="1:10" x14ac:dyDescent="0.25">
      <c r="A68" s="4" t="str">
        <f t="shared" ca="1" si="3"/>
        <v/>
      </c>
      <c r="B68" s="5"/>
      <c r="C68" s="5"/>
      <c r="D68" s="5"/>
      <c r="E68" s="5"/>
      <c r="F68" s="6"/>
      <c r="G68" s="6"/>
      <c r="H68" s="6" t="str">
        <f t="shared" si="1"/>
        <v/>
      </c>
      <c r="I68" s="5" t="str">
        <f t="shared" si="2"/>
        <v/>
      </c>
      <c r="J68" s="5"/>
    </row>
    <row r="69" spans="1:10" x14ac:dyDescent="0.25">
      <c r="A69" s="4" t="str">
        <f t="shared" ca="1" si="3"/>
        <v/>
      </c>
      <c r="B69" s="5"/>
      <c r="C69" s="5"/>
      <c r="D69" s="5"/>
      <c r="E69" s="5"/>
      <c r="F69" s="6"/>
      <c r="G69" s="6"/>
      <c r="H69" s="6" t="str">
        <f t="shared" ref="H69:H132" si="4">IF(F69="","",MAX(F69-G69,0))</f>
        <v/>
      </c>
      <c r="I69" s="5" t="str">
        <f t="shared" ref="I69:I132" si="5">IF(F69="","",IF(H69=0,"PAGADO","CRÉDITO"))</f>
        <v/>
      </c>
      <c r="J69" s="5"/>
    </row>
    <row r="70" spans="1:10" x14ac:dyDescent="0.25">
      <c r="A70" s="4" t="str">
        <f t="shared" ca="1" si="3"/>
        <v/>
      </c>
      <c r="B70" s="5"/>
      <c r="C70" s="5"/>
      <c r="D70" s="5"/>
      <c r="E70" s="5"/>
      <c r="F70" s="6"/>
      <c r="G70" s="6"/>
      <c r="H70" s="6" t="str">
        <f t="shared" si="4"/>
        <v/>
      </c>
      <c r="I70" s="5" t="str">
        <f t="shared" si="5"/>
        <v/>
      </c>
      <c r="J70" s="5"/>
    </row>
    <row r="71" spans="1:10" x14ac:dyDescent="0.25">
      <c r="A71" s="4" t="str">
        <f t="shared" ca="1" si="3"/>
        <v/>
      </c>
      <c r="B71" s="5"/>
      <c r="C71" s="5"/>
      <c r="D71" s="5"/>
      <c r="E71" s="5"/>
      <c r="F71" s="6"/>
      <c r="G71" s="6"/>
      <c r="H71" s="6" t="str">
        <f t="shared" si="4"/>
        <v/>
      </c>
      <c r="I71" s="5" t="str">
        <f t="shared" si="5"/>
        <v/>
      </c>
      <c r="J71" s="5"/>
    </row>
    <row r="72" spans="1:10" x14ac:dyDescent="0.25">
      <c r="A72" s="4" t="str">
        <f t="shared" ca="1" si="3"/>
        <v/>
      </c>
      <c r="B72" s="5"/>
      <c r="C72" s="5"/>
      <c r="D72" s="5"/>
      <c r="E72" s="5"/>
      <c r="F72" s="6"/>
      <c r="G72" s="6"/>
      <c r="H72" s="6" t="str">
        <f t="shared" si="4"/>
        <v/>
      </c>
      <c r="I72" s="5" t="str">
        <f t="shared" si="5"/>
        <v/>
      </c>
      <c r="J72" s="5"/>
    </row>
    <row r="73" spans="1:10" x14ac:dyDescent="0.25">
      <c r="A73" s="4" t="str">
        <f t="shared" ca="1" si="3"/>
        <v/>
      </c>
      <c r="B73" s="5"/>
      <c r="C73" s="5"/>
      <c r="D73" s="5"/>
      <c r="E73" s="5"/>
      <c r="F73" s="6"/>
      <c r="G73" s="6"/>
      <c r="H73" s="6" t="str">
        <f t="shared" si="4"/>
        <v/>
      </c>
      <c r="I73" s="5" t="str">
        <f t="shared" si="5"/>
        <v/>
      </c>
      <c r="J73" s="5"/>
    </row>
    <row r="74" spans="1:10" x14ac:dyDescent="0.25">
      <c r="A74" s="4" t="str">
        <f t="shared" ca="1" si="3"/>
        <v/>
      </c>
      <c r="B74" s="5"/>
      <c r="C74" s="5"/>
      <c r="D74" s="5"/>
      <c r="E74" s="5"/>
      <c r="F74" s="6"/>
      <c r="G74" s="6"/>
      <c r="H74" s="6" t="str">
        <f t="shared" si="4"/>
        <v/>
      </c>
      <c r="I74" s="5" t="str">
        <f t="shared" si="5"/>
        <v/>
      </c>
      <c r="J74" s="5"/>
    </row>
    <row r="75" spans="1:10" x14ac:dyDescent="0.25">
      <c r="A75" s="4" t="str">
        <f t="shared" ca="1" si="3"/>
        <v/>
      </c>
      <c r="B75" s="5"/>
      <c r="C75" s="5"/>
      <c r="D75" s="5"/>
      <c r="E75" s="5"/>
      <c r="F75" s="6"/>
      <c r="G75" s="6"/>
      <c r="H75" s="6" t="str">
        <f t="shared" si="4"/>
        <v/>
      </c>
      <c r="I75" s="5" t="str">
        <f t="shared" si="5"/>
        <v/>
      </c>
      <c r="J75" s="5"/>
    </row>
    <row r="76" spans="1:10" x14ac:dyDescent="0.25">
      <c r="A76" s="4" t="str">
        <f t="shared" ca="1" si="3"/>
        <v/>
      </c>
      <c r="B76" s="5"/>
      <c r="C76" s="5"/>
      <c r="D76" s="5"/>
      <c r="E76" s="5"/>
      <c r="F76" s="6"/>
      <c r="G76" s="6"/>
      <c r="H76" s="6" t="str">
        <f t="shared" si="4"/>
        <v/>
      </c>
      <c r="I76" s="5" t="str">
        <f t="shared" si="5"/>
        <v/>
      </c>
      <c r="J76" s="5"/>
    </row>
    <row r="77" spans="1:10" x14ac:dyDescent="0.25">
      <c r="A77" s="4" t="str">
        <f t="shared" ca="1" si="3"/>
        <v/>
      </c>
      <c r="B77" s="5"/>
      <c r="C77" s="5"/>
      <c r="D77" s="5"/>
      <c r="E77" s="5"/>
      <c r="F77" s="6"/>
      <c r="G77" s="6"/>
      <c r="H77" s="6" t="str">
        <f t="shared" si="4"/>
        <v/>
      </c>
      <c r="I77" s="5" t="str">
        <f t="shared" si="5"/>
        <v/>
      </c>
      <c r="J77" s="5"/>
    </row>
    <row r="78" spans="1:10" x14ac:dyDescent="0.25">
      <c r="A78" s="4" t="str">
        <f t="shared" ca="1" si="3"/>
        <v/>
      </c>
      <c r="B78" s="5"/>
      <c r="C78" s="5"/>
      <c r="D78" s="5"/>
      <c r="E78" s="5"/>
      <c r="F78" s="6"/>
      <c r="G78" s="6"/>
      <c r="H78" s="6" t="str">
        <f t="shared" si="4"/>
        <v/>
      </c>
      <c r="I78" s="5" t="str">
        <f t="shared" si="5"/>
        <v/>
      </c>
      <c r="J78" s="5"/>
    </row>
    <row r="79" spans="1:10" x14ac:dyDescent="0.25">
      <c r="A79" s="4" t="str">
        <f t="shared" ca="1" si="3"/>
        <v/>
      </c>
      <c r="B79" s="5"/>
      <c r="C79" s="5"/>
      <c r="D79" s="5"/>
      <c r="E79" s="5"/>
      <c r="F79" s="6"/>
      <c r="G79" s="6"/>
      <c r="H79" s="6" t="str">
        <f t="shared" si="4"/>
        <v/>
      </c>
      <c r="I79" s="5" t="str">
        <f t="shared" si="5"/>
        <v/>
      </c>
      <c r="J79" s="5"/>
    </row>
    <row r="80" spans="1:10" x14ac:dyDescent="0.25">
      <c r="A80" s="4" t="str">
        <f t="shared" ca="1" si="3"/>
        <v/>
      </c>
      <c r="B80" s="5"/>
      <c r="C80" s="5"/>
      <c r="D80" s="5"/>
      <c r="E80" s="5"/>
      <c r="F80" s="6"/>
      <c r="G80" s="6"/>
      <c r="H80" s="6" t="str">
        <f t="shared" si="4"/>
        <v/>
      </c>
      <c r="I80" s="5" t="str">
        <f t="shared" si="5"/>
        <v/>
      </c>
      <c r="J80" s="5"/>
    </row>
    <row r="81" spans="1:10" x14ac:dyDescent="0.25">
      <c r="A81" s="4" t="str">
        <f t="shared" ref="A81:A144" ca="1" si="6">IF(B81="","",TODAY())</f>
        <v/>
      </c>
      <c r="B81" s="5"/>
      <c r="C81" s="5"/>
      <c r="D81" s="5"/>
      <c r="E81" s="5"/>
      <c r="F81" s="6"/>
      <c r="G81" s="6"/>
      <c r="H81" s="6" t="str">
        <f t="shared" si="4"/>
        <v/>
      </c>
      <c r="I81" s="5" t="str">
        <f t="shared" si="5"/>
        <v/>
      </c>
      <c r="J81" s="5"/>
    </row>
    <row r="82" spans="1:10" x14ac:dyDescent="0.25">
      <c r="A82" s="4" t="str">
        <f t="shared" ca="1" si="6"/>
        <v/>
      </c>
      <c r="B82" s="5"/>
      <c r="C82" s="5"/>
      <c r="D82" s="5"/>
      <c r="E82" s="5"/>
      <c r="F82" s="6"/>
      <c r="G82" s="6"/>
      <c r="H82" s="6" t="str">
        <f t="shared" si="4"/>
        <v/>
      </c>
      <c r="I82" s="5" t="str">
        <f t="shared" si="5"/>
        <v/>
      </c>
      <c r="J82" s="5"/>
    </row>
    <row r="83" spans="1:10" x14ac:dyDescent="0.25">
      <c r="A83" s="4" t="str">
        <f t="shared" ca="1" si="6"/>
        <v/>
      </c>
      <c r="B83" s="5"/>
      <c r="C83" s="5"/>
      <c r="D83" s="5"/>
      <c r="E83" s="5"/>
      <c r="F83" s="6"/>
      <c r="G83" s="6"/>
      <c r="H83" s="6" t="str">
        <f t="shared" si="4"/>
        <v/>
      </c>
      <c r="I83" s="5" t="str">
        <f t="shared" si="5"/>
        <v/>
      </c>
      <c r="J83" s="5"/>
    </row>
    <row r="84" spans="1:10" x14ac:dyDescent="0.25">
      <c r="A84" s="4" t="str">
        <f t="shared" ca="1" si="6"/>
        <v/>
      </c>
      <c r="B84" s="5"/>
      <c r="C84" s="5"/>
      <c r="D84" s="5"/>
      <c r="E84" s="5"/>
      <c r="F84" s="6"/>
      <c r="G84" s="6"/>
      <c r="H84" s="6" t="str">
        <f t="shared" si="4"/>
        <v/>
      </c>
      <c r="I84" s="5" t="str">
        <f t="shared" si="5"/>
        <v/>
      </c>
      <c r="J84" s="5"/>
    </row>
    <row r="85" spans="1:10" x14ac:dyDescent="0.25">
      <c r="A85" s="4" t="str">
        <f t="shared" ca="1" si="6"/>
        <v/>
      </c>
      <c r="B85" s="5"/>
      <c r="C85" s="5"/>
      <c r="D85" s="5"/>
      <c r="E85" s="5"/>
      <c r="F85" s="6"/>
      <c r="G85" s="6"/>
      <c r="H85" s="6" t="str">
        <f t="shared" si="4"/>
        <v/>
      </c>
      <c r="I85" s="5" t="str">
        <f t="shared" si="5"/>
        <v/>
      </c>
      <c r="J85" s="5"/>
    </row>
    <row r="86" spans="1:10" x14ac:dyDescent="0.25">
      <c r="A86" s="4" t="str">
        <f t="shared" ca="1" si="6"/>
        <v/>
      </c>
      <c r="B86" s="5"/>
      <c r="C86" s="5"/>
      <c r="D86" s="5"/>
      <c r="E86" s="5"/>
      <c r="F86" s="6"/>
      <c r="G86" s="6"/>
      <c r="H86" s="6" t="str">
        <f t="shared" si="4"/>
        <v/>
      </c>
      <c r="I86" s="5" t="str">
        <f t="shared" si="5"/>
        <v/>
      </c>
      <c r="J86" s="5"/>
    </row>
    <row r="87" spans="1:10" x14ac:dyDescent="0.25">
      <c r="A87" s="4" t="str">
        <f t="shared" ca="1" si="6"/>
        <v/>
      </c>
      <c r="B87" s="5"/>
      <c r="C87" s="5"/>
      <c r="D87" s="5"/>
      <c r="E87" s="5"/>
      <c r="F87" s="6"/>
      <c r="G87" s="6"/>
      <c r="H87" s="6" t="str">
        <f t="shared" si="4"/>
        <v/>
      </c>
      <c r="I87" s="5" t="str">
        <f t="shared" si="5"/>
        <v/>
      </c>
      <c r="J87" s="5"/>
    </row>
    <row r="88" spans="1:10" x14ac:dyDescent="0.25">
      <c r="A88" s="4" t="str">
        <f t="shared" ca="1" si="6"/>
        <v/>
      </c>
      <c r="B88" s="5"/>
      <c r="C88" s="5"/>
      <c r="D88" s="5"/>
      <c r="E88" s="5"/>
      <c r="F88" s="6"/>
      <c r="G88" s="6"/>
      <c r="H88" s="6" t="str">
        <f t="shared" si="4"/>
        <v/>
      </c>
      <c r="I88" s="5" t="str">
        <f t="shared" si="5"/>
        <v/>
      </c>
      <c r="J88" s="5"/>
    </row>
    <row r="89" spans="1:10" x14ac:dyDescent="0.25">
      <c r="A89" s="4" t="str">
        <f t="shared" ca="1" si="6"/>
        <v/>
      </c>
      <c r="B89" s="5"/>
      <c r="C89" s="5"/>
      <c r="D89" s="5"/>
      <c r="E89" s="5"/>
      <c r="F89" s="6"/>
      <c r="G89" s="6"/>
      <c r="H89" s="6" t="str">
        <f t="shared" si="4"/>
        <v/>
      </c>
      <c r="I89" s="5" t="str">
        <f t="shared" si="5"/>
        <v/>
      </c>
      <c r="J89" s="5"/>
    </row>
    <row r="90" spans="1:10" x14ac:dyDescent="0.25">
      <c r="A90" s="4" t="str">
        <f t="shared" ca="1" si="6"/>
        <v/>
      </c>
      <c r="B90" s="5"/>
      <c r="C90" s="5"/>
      <c r="D90" s="5"/>
      <c r="E90" s="5"/>
      <c r="F90" s="6"/>
      <c r="G90" s="6"/>
      <c r="H90" s="6" t="str">
        <f t="shared" si="4"/>
        <v/>
      </c>
      <c r="I90" s="5" t="str">
        <f t="shared" si="5"/>
        <v/>
      </c>
      <c r="J90" s="5"/>
    </row>
    <row r="91" spans="1:10" x14ac:dyDescent="0.25">
      <c r="A91" s="4" t="str">
        <f t="shared" ca="1" si="6"/>
        <v/>
      </c>
      <c r="B91" s="5"/>
      <c r="C91" s="5"/>
      <c r="D91" s="5"/>
      <c r="E91" s="5"/>
      <c r="F91" s="6"/>
      <c r="G91" s="6"/>
      <c r="H91" s="6" t="str">
        <f t="shared" si="4"/>
        <v/>
      </c>
      <c r="I91" s="5" t="str">
        <f t="shared" si="5"/>
        <v/>
      </c>
      <c r="J91" s="5"/>
    </row>
    <row r="92" spans="1:10" x14ac:dyDescent="0.25">
      <c r="A92" s="4" t="str">
        <f t="shared" ca="1" si="6"/>
        <v/>
      </c>
      <c r="B92" s="5"/>
      <c r="C92" s="5"/>
      <c r="D92" s="5"/>
      <c r="E92" s="5"/>
      <c r="F92" s="6"/>
      <c r="G92" s="6"/>
      <c r="H92" s="6" t="str">
        <f t="shared" si="4"/>
        <v/>
      </c>
      <c r="I92" s="5" t="str">
        <f t="shared" si="5"/>
        <v/>
      </c>
      <c r="J92" s="5"/>
    </row>
    <row r="93" spans="1:10" x14ac:dyDescent="0.25">
      <c r="A93" s="4" t="str">
        <f t="shared" ca="1" si="6"/>
        <v/>
      </c>
      <c r="B93" s="5"/>
      <c r="C93" s="5"/>
      <c r="D93" s="5"/>
      <c r="E93" s="5"/>
      <c r="F93" s="6"/>
      <c r="G93" s="6"/>
      <c r="H93" s="6" t="str">
        <f t="shared" si="4"/>
        <v/>
      </c>
      <c r="I93" s="5" t="str">
        <f t="shared" si="5"/>
        <v/>
      </c>
      <c r="J93" s="5"/>
    </row>
    <row r="94" spans="1:10" x14ac:dyDescent="0.25">
      <c r="A94" s="4" t="str">
        <f t="shared" ca="1" si="6"/>
        <v/>
      </c>
      <c r="B94" s="5"/>
      <c r="C94" s="5"/>
      <c r="D94" s="5"/>
      <c r="E94" s="5"/>
      <c r="F94" s="6"/>
      <c r="G94" s="6"/>
      <c r="H94" s="6" t="str">
        <f t="shared" si="4"/>
        <v/>
      </c>
      <c r="I94" s="5" t="str">
        <f t="shared" si="5"/>
        <v/>
      </c>
      <c r="J94" s="5"/>
    </row>
    <row r="95" spans="1:10" x14ac:dyDescent="0.25">
      <c r="A95" s="4" t="str">
        <f t="shared" ca="1" si="6"/>
        <v/>
      </c>
      <c r="B95" s="5"/>
      <c r="C95" s="5"/>
      <c r="D95" s="5"/>
      <c r="E95" s="5"/>
      <c r="F95" s="6"/>
      <c r="G95" s="6"/>
      <c r="H95" s="6" t="str">
        <f t="shared" si="4"/>
        <v/>
      </c>
      <c r="I95" s="5" t="str">
        <f t="shared" si="5"/>
        <v/>
      </c>
      <c r="J95" s="5"/>
    </row>
    <row r="96" spans="1:10" x14ac:dyDescent="0.25">
      <c r="A96" s="4" t="str">
        <f t="shared" ca="1" si="6"/>
        <v/>
      </c>
      <c r="B96" s="5"/>
      <c r="C96" s="5"/>
      <c r="D96" s="5"/>
      <c r="E96" s="5"/>
      <c r="F96" s="6"/>
      <c r="G96" s="6"/>
      <c r="H96" s="6" t="str">
        <f t="shared" si="4"/>
        <v/>
      </c>
      <c r="I96" s="5" t="str">
        <f t="shared" si="5"/>
        <v/>
      </c>
      <c r="J96" s="5"/>
    </row>
    <row r="97" spans="1:10" x14ac:dyDescent="0.25">
      <c r="A97" s="4" t="str">
        <f t="shared" ca="1" si="6"/>
        <v/>
      </c>
      <c r="B97" s="5"/>
      <c r="C97" s="5"/>
      <c r="D97" s="5"/>
      <c r="E97" s="5"/>
      <c r="F97" s="6"/>
      <c r="G97" s="6"/>
      <c r="H97" s="6" t="str">
        <f t="shared" si="4"/>
        <v/>
      </c>
      <c r="I97" s="5" t="str">
        <f t="shared" si="5"/>
        <v/>
      </c>
      <c r="J97" s="5"/>
    </row>
    <row r="98" spans="1:10" x14ac:dyDescent="0.25">
      <c r="A98" s="4" t="str">
        <f t="shared" ca="1" si="6"/>
        <v/>
      </c>
      <c r="B98" s="5"/>
      <c r="C98" s="5"/>
      <c r="D98" s="5"/>
      <c r="E98" s="5"/>
      <c r="F98" s="6"/>
      <c r="G98" s="6"/>
      <c r="H98" s="6" t="str">
        <f t="shared" si="4"/>
        <v/>
      </c>
      <c r="I98" s="5" t="str">
        <f t="shared" si="5"/>
        <v/>
      </c>
      <c r="J98" s="5"/>
    </row>
    <row r="99" spans="1:10" x14ac:dyDescent="0.25">
      <c r="A99" s="4" t="str">
        <f t="shared" ca="1" si="6"/>
        <v/>
      </c>
      <c r="B99" s="5"/>
      <c r="C99" s="5"/>
      <c r="D99" s="5"/>
      <c r="E99" s="5"/>
      <c r="F99" s="6"/>
      <c r="G99" s="6"/>
      <c r="H99" s="6" t="str">
        <f t="shared" si="4"/>
        <v/>
      </c>
      <c r="I99" s="5" t="str">
        <f t="shared" si="5"/>
        <v/>
      </c>
      <c r="J99" s="5"/>
    </row>
    <row r="100" spans="1:10" x14ac:dyDescent="0.25">
      <c r="A100" s="4" t="str">
        <f t="shared" ca="1" si="6"/>
        <v/>
      </c>
      <c r="B100" s="5"/>
      <c r="C100" s="5"/>
      <c r="D100" s="5"/>
      <c r="E100" s="5"/>
      <c r="F100" s="6"/>
      <c r="G100" s="6"/>
      <c r="H100" s="6" t="str">
        <f t="shared" si="4"/>
        <v/>
      </c>
      <c r="I100" s="5" t="str">
        <f t="shared" si="5"/>
        <v/>
      </c>
      <c r="J100" s="5"/>
    </row>
    <row r="101" spans="1:10" x14ac:dyDescent="0.25">
      <c r="A101" s="4" t="str">
        <f t="shared" ca="1" si="6"/>
        <v/>
      </c>
      <c r="B101" s="5"/>
      <c r="C101" s="5"/>
      <c r="D101" s="5"/>
      <c r="E101" s="5"/>
      <c r="F101" s="6"/>
      <c r="G101" s="6"/>
      <c r="H101" s="6" t="str">
        <f t="shared" si="4"/>
        <v/>
      </c>
      <c r="I101" s="5" t="str">
        <f t="shared" si="5"/>
        <v/>
      </c>
      <c r="J101" s="5"/>
    </row>
    <row r="102" spans="1:10" x14ac:dyDescent="0.25">
      <c r="A102" s="4" t="str">
        <f t="shared" ca="1" si="6"/>
        <v/>
      </c>
      <c r="B102" s="5"/>
      <c r="C102" s="5"/>
      <c r="D102" s="5"/>
      <c r="E102" s="5"/>
      <c r="F102" s="6"/>
      <c r="G102" s="6"/>
      <c r="H102" s="6" t="str">
        <f t="shared" si="4"/>
        <v/>
      </c>
      <c r="I102" s="5" t="str">
        <f t="shared" si="5"/>
        <v/>
      </c>
      <c r="J102" s="5"/>
    </row>
    <row r="103" spans="1:10" x14ac:dyDescent="0.25">
      <c r="A103" s="4" t="str">
        <f t="shared" ca="1" si="6"/>
        <v/>
      </c>
      <c r="B103" s="5"/>
      <c r="C103" s="5"/>
      <c r="D103" s="5"/>
      <c r="E103" s="5"/>
      <c r="F103" s="6"/>
      <c r="G103" s="6"/>
      <c r="H103" s="6" t="str">
        <f t="shared" si="4"/>
        <v/>
      </c>
      <c r="I103" s="5" t="str">
        <f t="shared" si="5"/>
        <v/>
      </c>
      <c r="J103" s="5"/>
    </row>
    <row r="104" spans="1:10" x14ac:dyDescent="0.25">
      <c r="A104" s="4" t="str">
        <f t="shared" ca="1" si="6"/>
        <v/>
      </c>
      <c r="B104" s="5"/>
      <c r="C104" s="5"/>
      <c r="D104" s="5"/>
      <c r="E104" s="5"/>
      <c r="F104" s="6"/>
      <c r="G104" s="6"/>
      <c r="H104" s="6" t="str">
        <f t="shared" si="4"/>
        <v/>
      </c>
      <c r="I104" s="5" t="str">
        <f t="shared" si="5"/>
        <v/>
      </c>
      <c r="J104" s="5"/>
    </row>
    <row r="105" spans="1:10" x14ac:dyDescent="0.25">
      <c r="A105" s="4" t="str">
        <f t="shared" ca="1" si="6"/>
        <v/>
      </c>
      <c r="B105" s="5"/>
      <c r="C105" s="5"/>
      <c r="D105" s="5"/>
      <c r="E105" s="5"/>
      <c r="F105" s="6"/>
      <c r="G105" s="6"/>
      <c r="H105" s="6" t="str">
        <f t="shared" si="4"/>
        <v/>
      </c>
      <c r="I105" s="5" t="str">
        <f t="shared" si="5"/>
        <v/>
      </c>
      <c r="J105" s="5"/>
    </row>
    <row r="106" spans="1:10" x14ac:dyDescent="0.25">
      <c r="A106" s="4" t="str">
        <f t="shared" ca="1" si="6"/>
        <v/>
      </c>
      <c r="B106" s="5"/>
      <c r="C106" s="5"/>
      <c r="D106" s="5"/>
      <c r="E106" s="5"/>
      <c r="F106" s="6"/>
      <c r="G106" s="6"/>
      <c r="H106" s="6" t="str">
        <f t="shared" si="4"/>
        <v/>
      </c>
      <c r="I106" s="5" t="str">
        <f t="shared" si="5"/>
        <v/>
      </c>
      <c r="J106" s="5"/>
    </row>
    <row r="107" spans="1:10" x14ac:dyDescent="0.25">
      <c r="A107" s="4" t="str">
        <f t="shared" ca="1" si="6"/>
        <v/>
      </c>
      <c r="B107" s="5"/>
      <c r="C107" s="5"/>
      <c r="D107" s="5"/>
      <c r="E107" s="5"/>
      <c r="F107" s="6"/>
      <c r="G107" s="6"/>
      <c r="H107" s="6" t="str">
        <f t="shared" si="4"/>
        <v/>
      </c>
      <c r="I107" s="5" t="str">
        <f t="shared" si="5"/>
        <v/>
      </c>
      <c r="J107" s="5"/>
    </row>
    <row r="108" spans="1:10" x14ac:dyDescent="0.25">
      <c r="A108" s="4" t="str">
        <f t="shared" ca="1" si="6"/>
        <v/>
      </c>
      <c r="B108" s="5"/>
      <c r="C108" s="5"/>
      <c r="D108" s="5"/>
      <c r="E108" s="5"/>
      <c r="F108" s="6"/>
      <c r="G108" s="6"/>
      <c r="H108" s="6" t="str">
        <f t="shared" si="4"/>
        <v/>
      </c>
      <c r="I108" s="5" t="str">
        <f t="shared" si="5"/>
        <v/>
      </c>
      <c r="J108" s="5"/>
    </row>
    <row r="109" spans="1:10" x14ac:dyDescent="0.25">
      <c r="A109" s="4" t="str">
        <f t="shared" ca="1" si="6"/>
        <v/>
      </c>
      <c r="B109" s="5"/>
      <c r="C109" s="5"/>
      <c r="D109" s="5"/>
      <c r="E109" s="5"/>
      <c r="F109" s="6"/>
      <c r="G109" s="6"/>
      <c r="H109" s="6" t="str">
        <f t="shared" si="4"/>
        <v/>
      </c>
      <c r="I109" s="5" t="str">
        <f t="shared" si="5"/>
        <v/>
      </c>
      <c r="J109" s="5"/>
    </row>
    <row r="110" spans="1:10" x14ac:dyDescent="0.25">
      <c r="A110" s="4" t="str">
        <f t="shared" ca="1" si="6"/>
        <v/>
      </c>
      <c r="B110" s="5"/>
      <c r="C110" s="5"/>
      <c r="D110" s="5"/>
      <c r="E110" s="5"/>
      <c r="F110" s="6"/>
      <c r="G110" s="6"/>
      <c r="H110" s="6" t="str">
        <f t="shared" si="4"/>
        <v/>
      </c>
      <c r="I110" s="5" t="str">
        <f t="shared" si="5"/>
        <v/>
      </c>
      <c r="J110" s="5"/>
    </row>
    <row r="111" spans="1:10" x14ac:dyDescent="0.25">
      <c r="A111" s="4" t="str">
        <f t="shared" ca="1" si="6"/>
        <v/>
      </c>
      <c r="B111" s="5"/>
      <c r="C111" s="5"/>
      <c r="D111" s="5"/>
      <c r="E111" s="5"/>
      <c r="F111" s="6"/>
      <c r="G111" s="6"/>
      <c r="H111" s="6" t="str">
        <f t="shared" si="4"/>
        <v/>
      </c>
      <c r="I111" s="5" t="str">
        <f t="shared" si="5"/>
        <v/>
      </c>
      <c r="J111" s="5"/>
    </row>
    <row r="112" spans="1:10" x14ac:dyDescent="0.25">
      <c r="A112" s="4" t="str">
        <f t="shared" ca="1" si="6"/>
        <v/>
      </c>
      <c r="B112" s="5"/>
      <c r="C112" s="5"/>
      <c r="D112" s="5"/>
      <c r="E112" s="5"/>
      <c r="F112" s="6"/>
      <c r="G112" s="6"/>
      <c r="H112" s="6" t="str">
        <f t="shared" si="4"/>
        <v/>
      </c>
      <c r="I112" s="5" t="str">
        <f t="shared" si="5"/>
        <v/>
      </c>
      <c r="J112" s="5"/>
    </row>
    <row r="113" spans="1:10" x14ac:dyDescent="0.25">
      <c r="A113" s="4" t="str">
        <f t="shared" ca="1" si="6"/>
        <v/>
      </c>
      <c r="B113" s="5"/>
      <c r="C113" s="5"/>
      <c r="D113" s="5"/>
      <c r="E113" s="5"/>
      <c r="F113" s="6"/>
      <c r="G113" s="6"/>
      <c r="H113" s="6" t="str">
        <f t="shared" si="4"/>
        <v/>
      </c>
      <c r="I113" s="5" t="str">
        <f t="shared" si="5"/>
        <v/>
      </c>
      <c r="J113" s="5"/>
    </row>
    <row r="114" spans="1:10" x14ac:dyDescent="0.25">
      <c r="A114" s="4" t="str">
        <f t="shared" ca="1" si="6"/>
        <v/>
      </c>
      <c r="B114" s="5"/>
      <c r="C114" s="5"/>
      <c r="D114" s="5"/>
      <c r="E114" s="5"/>
      <c r="F114" s="6"/>
      <c r="G114" s="6"/>
      <c r="H114" s="6" t="str">
        <f t="shared" si="4"/>
        <v/>
      </c>
      <c r="I114" s="5" t="str">
        <f t="shared" si="5"/>
        <v/>
      </c>
      <c r="J114" s="5"/>
    </row>
    <row r="115" spans="1:10" x14ac:dyDescent="0.25">
      <c r="A115" s="4" t="str">
        <f t="shared" ca="1" si="6"/>
        <v/>
      </c>
      <c r="B115" s="5"/>
      <c r="C115" s="5"/>
      <c r="D115" s="5"/>
      <c r="E115" s="5"/>
      <c r="F115" s="6"/>
      <c r="G115" s="6"/>
      <c r="H115" s="6" t="str">
        <f t="shared" si="4"/>
        <v/>
      </c>
      <c r="I115" s="5" t="str">
        <f t="shared" si="5"/>
        <v/>
      </c>
      <c r="J115" s="5"/>
    </row>
    <row r="116" spans="1:10" x14ac:dyDescent="0.25">
      <c r="A116" s="4" t="str">
        <f t="shared" ca="1" si="6"/>
        <v/>
      </c>
      <c r="B116" s="5"/>
      <c r="C116" s="5"/>
      <c r="D116" s="5"/>
      <c r="E116" s="5"/>
      <c r="F116" s="6"/>
      <c r="G116" s="6"/>
      <c r="H116" s="6" t="str">
        <f t="shared" si="4"/>
        <v/>
      </c>
      <c r="I116" s="5" t="str">
        <f t="shared" si="5"/>
        <v/>
      </c>
      <c r="J116" s="5"/>
    </row>
    <row r="117" spans="1:10" x14ac:dyDescent="0.25">
      <c r="A117" s="4" t="str">
        <f t="shared" ca="1" si="6"/>
        <v/>
      </c>
      <c r="B117" s="5"/>
      <c r="C117" s="5"/>
      <c r="D117" s="5"/>
      <c r="E117" s="5"/>
      <c r="F117" s="6"/>
      <c r="G117" s="6"/>
      <c r="H117" s="6" t="str">
        <f t="shared" si="4"/>
        <v/>
      </c>
      <c r="I117" s="5" t="str">
        <f t="shared" si="5"/>
        <v/>
      </c>
      <c r="J117" s="5"/>
    </row>
    <row r="118" spans="1:10" x14ac:dyDescent="0.25">
      <c r="A118" s="4" t="str">
        <f t="shared" ca="1" si="6"/>
        <v/>
      </c>
      <c r="B118" s="5"/>
      <c r="C118" s="5"/>
      <c r="D118" s="5"/>
      <c r="E118" s="5"/>
      <c r="F118" s="6"/>
      <c r="G118" s="6"/>
      <c r="H118" s="6" t="str">
        <f t="shared" si="4"/>
        <v/>
      </c>
      <c r="I118" s="5" t="str">
        <f t="shared" si="5"/>
        <v/>
      </c>
      <c r="J118" s="5"/>
    </row>
    <row r="119" spans="1:10" x14ac:dyDescent="0.25">
      <c r="A119" s="4" t="str">
        <f t="shared" ca="1" si="6"/>
        <v/>
      </c>
      <c r="B119" s="5"/>
      <c r="C119" s="5"/>
      <c r="D119" s="5"/>
      <c r="E119" s="5"/>
      <c r="F119" s="6"/>
      <c r="G119" s="6"/>
      <c r="H119" s="6" t="str">
        <f t="shared" si="4"/>
        <v/>
      </c>
      <c r="I119" s="5" t="str">
        <f t="shared" si="5"/>
        <v/>
      </c>
      <c r="J119" s="5"/>
    </row>
    <row r="120" spans="1:10" x14ac:dyDescent="0.25">
      <c r="A120" s="4" t="str">
        <f t="shared" ca="1" si="6"/>
        <v/>
      </c>
      <c r="B120" s="5"/>
      <c r="C120" s="5"/>
      <c r="D120" s="5"/>
      <c r="E120" s="5"/>
      <c r="F120" s="6"/>
      <c r="G120" s="6"/>
      <c r="H120" s="6" t="str">
        <f t="shared" si="4"/>
        <v/>
      </c>
      <c r="I120" s="5" t="str">
        <f t="shared" si="5"/>
        <v/>
      </c>
      <c r="J120" s="5"/>
    </row>
    <row r="121" spans="1:10" x14ac:dyDescent="0.25">
      <c r="A121" s="4" t="str">
        <f t="shared" ca="1" si="6"/>
        <v/>
      </c>
      <c r="B121" s="5"/>
      <c r="C121" s="5"/>
      <c r="D121" s="5"/>
      <c r="E121" s="5"/>
      <c r="F121" s="6"/>
      <c r="G121" s="6"/>
      <c r="H121" s="6" t="str">
        <f t="shared" si="4"/>
        <v/>
      </c>
      <c r="I121" s="5" t="str">
        <f t="shared" si="5"/>
        <v/>
      </c>
      <c r="J121" s="5"/>
    </row>
    <row r="122" spans="1:10" x14ac:dyDescent="0.25">
      <c r="A122" s="4" t="str">
        <f t="shared" ca="1" si="6"/>
        <v/>
      </c>
      <c r="B122" s="5"/>
      <c r="C122" s="5"/>
      <c r="D122" s="5"/>
      <c r="E122" s="5"/>
      <c r="F122" s="6"/>
      <c r="G122" s="6"/>
      <c r="H122" s="6" t="str">
        <f t="shared" si="4"/>
        <v/>
      </c>
      <c r="I122" s="5" t="str">
        <f t="shared" si="5"/>
        <v/>
      </c>
      <c r="J122" s="5"/>
    </row>
    <row r="123" spans="1:10" x14ac:dyDescent="0.25">
      <c r="A123" s="4" t="str">
        <f t="shared" ca="1" si="6"/>
        <v/>
      </c>
      <c r="B123" s="5"/>
      <c r="C123" s="5"/>
      <c r="D123" s="5"/>
      <c r="E123" s="5"/>
      <c r="F123" s="6"/>
      <c r="G123" s="6"/>
      <c r="H123" s="6" t="str">
        <f t="shared" si="4"/>
        <v/>
      </c>
      <c r="I123" s="5" t="str">
        <f t="shared" si="5"/>
        <v/>
      </c>
      <c r="J123" s="5"/>
    </row>
    <row r="124" spans="1:10" x14ac:dyDescent="0.25">
      <c r="A124" s="4" t="str">
        <f t="shared" ca="1" si="6"/>
        <v/>
      </c>
      <c r="B124" s="5"/>
      <c r="C124" s="5"/>
      <c r="D124" s="5"/>
      <c r="E124" s="5"/>
      <c r="F124" s="6"/>
      <c r="G124" s="6"/>
      <c r="H124" s="6" t="str">
        <f t="shared" si="4"/>
        <v/>
      </c>
      <c r="I124" s="5" t="str">
        <f t="shared" si="5"/>
        <v/>
      </c>
      <c r="J124" s="5"/>
    </row>
    <row r="125" spans="1:10" x14ac:dyDescent="0.25">
      <c r="A125" s="4" t="str">
        <f t="shared" ca="1" si="6"/>
        <v/>
      </c>
      <c r="B125" s="5"/>
      <c r="C125" s="5"/>
      <c r="D125" s="5"/>
      <c r="E125" s="5"/>
      <c r="F125" s="6"/>
      <c r="G125" s="6"/>
      <c r="H125" s="6" t="str">
        <f t="shared" si="4"/>
        <v/>
      </c>
      <c r="I125" s="5" t="str">
        <f t="shared" si="5"/>
        <v/>
      </c>
      <c r="J125" s="5"/>
    </row>
    <row r="126" spans="1:10" x14ac:dyDescent="0.25">
      <c r="A126" s="4" t="str">
        <f t="shared" ca="1" si="6"/>
        <v/>
      </c>
      <c r="B126" s="5"/>
      <c r="C126" s="5"/>
      <c r="D126" s="5"/>
      <c r="E126" s="5"/>
      <c r="F126" s="6"/>
      <c r="G126" s="6"/>
      <c r="H126" s="6" t="str">
        <f t="shared" si="4"/>
        <v/>
      </c>
      <c r="I126" s="5" t="str">
        <f t="shared" si="5"/>
        <v/>
      </c>
      <c r="J126" s="5"/>
    </row>
    <row r="127" spans="1:10" x14ac:dyDescent="0.25">
      <c r="A127" s="4" t="str">
        <f t="shared" ca="1" si="6"/>
        <v/>
      </c>
      <c r="B127" s="5"/>
      <c r="C127" s="5"/>
      <c r="D127" s="5"/>
      <c r="E127" s="5"/>
      <c r="F127" s="6"/>
      <c r="G127" s="6"/>
      <c r="H127" s="6" t="str">
        <f t="shared" si="4"/>
        <v/>
      </c>
      <c r="I127" s="5" t="str">
        <f t="shared" si="5"/>
        <v/>
      </c>
      <c r="J127" s="5"/>
    </row>
    <row r="128" spans="1:10" x14ac:dyDescent="0.25">
      <c r="A128" s="4" t="str">
        <f t="shared" ca="1" si="6"/>
        <v/>
      </c>
      <c r="B128" s="5"/>
      <c r="C128" s="5"/>
      <c r="D128" s="5"/>
      <c r="E128" s="5"/>
      <c r="F128" s="6"/>
      <c r="G128" s="6"/>
      <c r="H128" s="6" t="str">
        <f t="shared" si="4"/>
        <v/>
      </c>
      <c r="I128" s="5" t="str">
        <f t="shared" si="5"/>
        <v/>
      </c>
      <c r="J128" s="5"/>
    </row>
    <row r="129" spans="1:10" x14ac:dyDescent="0.25">
      <c r="A129" s="4" t="str">
        <f t="shared" ca="1" si="6"/>
        <v/>
      </c>
      <c r="B129" s="5"/>
      <c r="C129" s="5"/>
      <c r="D129" s="5"/>
      <c r="E129" s="5"/>
      <c r="F129" s="6"/>
      <c r="G129" s="6"/>
      <c r="H129" s="6" t="str">
        <f t="shared" si="4"/>
        <v/>
      </c>
      <c r="I129" s="5" t="str">
        <f t="shared" si="5"/>
        <v/>
      </c>
      <c r="J129" s="5"/>
    </row>
    <row r="130" spans="1:10" x14ac:dyDescent="0.25">
      <c r="A130" s="4" t="str">
        <f t="shared" ca="1" si="6"/>
        <v/>
      </c>
      <c r="B130" s="5"/>
      <c r="C130" s="5"/>
      <c r="D130" s="5"/>
      <c r="E130" s="5"/>
      <c r="F130" s="6"/>
      <c r="G130" s="6"/>
      <c r="H130" s="6" t="str">
        <f t="shared" si="4"/>
        <v/>
      </c>
      <c r="I130" s="5" t="str">
        <f t="shared" si="5"/>
        <v/>
      </c>
      <c r="J130" s="5"/>
    </row>
    <row r="131" spans="1:10" x14ac:dyDescent="0.25">
      <c r="A131" s="4" t="str">
        <f t="shared" ca="1" si="6"/>
        <v/>
      </c>
      <c r="B131" s="5"/>
      <c r="C131" s="5"/>
      <c r="D131" s="5"/>
      <c r="E131" s="5"/>
      <c r="F131" s="6"/>
      <c r="G131" s="6"/>
      <c r="H131" s="6" t="str">
        <f t="shared" si="4"/>
        <v/>
      </c>
      <c r="I131" s="5" t="str">
        <f t="shared" si="5"/>
        <v/>
      </c>
      <c r="J131" s="5"/>
    </row>
    <row r="132" spans="1:10" x14ac:dyDescent="0.25">
      <c r="A132" s="4" t="str">
        <f t="shared" ca="1" si="6"/>
        <v/>
      </c>
      <c r="B132" s="5"/>
      <c r="C132" s="5"/>
      <c r="D132" s="5"/>
      <c r="E132" s="5"/>
      <c r="F132" s="6"/>
      <c r="G132" s="6"/>
      <c r="H132" s="6" t="str">
        <f t="shared" si="4"/>
        <v/>
      </c>
      <c r="I132" s="5" t="str">
        <f t="shared" si="5"/>
        <v/>
      </c>
      <c r="J132" s="5"/>
    </row>
    <row r="133" spans="1:10" x14ac:dyDescent="0.25">
      <c r="A133" s="4" t="str">
        <f t="shared" ca="1" si="6"/>
        <v/>
      </c>
      <c r="B133" s="5"/>
      <c r="C133" s="5"/>
      <c r="D133" s="5"/>
      <c r="E133" s="5"/>
      <c r="F133" s="6"/>
      <c r="G133" s="6"/>
      <c r="H133" s="6" t="str">
        <f t="shared" ref="H133:H196" si="7">IF(F133="","",MAX(F133-G133,0))</f>
        <v/>
      </c>
      <c r="I133" s="5" t="str">
        <f t="shared" ref="I133:I196" si="8">IF(F133="","",IF(H133=0,"PAGADO","CRÉDITO"))</f>
        <v/>
      </c>
      <c r="J133" s="5"/>
    </row>
    <row r="134" spans="1:10" x14ac:dyDescent="0.25">
      <c r="A134" s="4" t="str">
        <f t="shared" ca="1" si="6"/>
        <v/>
      </c>
      <c r="B134" s="5"/>
      <c r="C134" s="5"/>
      <c r="D134" s="5"/>
      <c r="E134" s="5"/>
      <c r="F134" s="6"/>
      <c r="G134" s="6"/>
      <c r="H134" s="6" t="str">
        <f t="shared" si="7"/>
        <v/>
      </c>
      <c r="I134" s="5" t="str">
        <f t="shared" si="8"/>
        <v/>
      </c>
      <c r="J134" s="5"/>
    </row>
    <row r="135" spans="1:10" x14ac:dyDescent="0.25">
      <c r="A135" s="4" t="str">
        <f t="shared" ca="1" si="6"/>
        <v/>
      </c>
      <c r="B135" s="5"/>
      <c r="C135" s="5"/>
      <c r="D135" s="5"/>
      <c r="E135" s="5"/>
      <c r="F135" s="6"/>
      <c r="G135" s="6"/>
      <c r="H135" s="6" t="str">
        <f t="shared" si="7"/>
        <v/>
      </c>
      <c r="I135" s="5" t="str">
        <f t="shared" si="8"/>
        <v/>
      </c>
      <c r="J135" s="5"/>
    </row>
    <row r="136" spans="1:10" x14ac:dyDescent="0.25">
      <c r="A136" s="4" t="str">
        <f t="shared" ca="1" si="6"/>
        <v/>
      </c>
      <c r="B136" s="5"/>
      <c r="C136" s="5"/>
      <c r="D136" s="5"/>
      <c r="E136" s="5"/>
      <c r="F136" s="6"/>
      <c r="G136" s="6"/>
      <c r="H136" s="6" t="str">
        <f t="shared" si="7"/>
        <v/>
      </c>
      <c r="I136" s="5" t="str">
        <f t="shared" si="8"/>
        <v/>
      </c>
      <c r="J136" s="5"/>
    </row>
    <row r="137" spans="1:10" x14ac:dyDescent="0.25">
      <c r="A137" s="4" t="str">
        <f t="shared" ca="1" si="6"/>
        <v/>
      </c>
      <c r="B137" s="5"/>
      <c r="C137" s="5"/>
      <c r="D137" s="5"/>
      <c r="E137" s="5"/>
      <c r="F137" s="6"/>
      <c r="G137" s="6"/>
      <c r="H137" s="6" t="str">
        <f t="shared" si="7"/>
        <v/>
      </c>
      <c r="I137" s="5" t="str">
        <f t="shared" si="8"/>
        <v/>
      </c>
      <c r="J137" s="5"/>
    </row>
    <row r="138" spans="1:10" x14ac:dyDescent="0.25">
      <c r="A138" s="4" t="str">
        <f t="shared" ca="1" si="6"/>
        <v/>
      </c>
      <c r="B138" s="5"/>
      <c r="C138" s="5"/>
      <c r="D138" s="5"/>
      <c r="E138" s="5"/>
      <c r="F138" s="6"/>
      <c r="G138" s="6"/>
      <c r="H138" s="6" t="str">
        <f t="shared" si="7"/>
        <v/>
      </c>
      <c r="I138" s="5" t="str">
        <f t="shared" si="8"/>
        <v/>
      </c>
      <c r="J138" s="5"/>
    </row>
    <row r="139" spans="1:10" x14ac:dyDescent="0.25">
      <c r="A139" s="4" t="str">
        <f t="shared" ca="1" si="6"/>
        <v/>
      </c>
      <c r="B139" s="5"/>
      <c r="C139" s="5"/>
      <c r="D139" s="5"/>
      <c r="E139" s="5"/>
      <c r="F139" s="6"/>
      <c r="G139" s="6"/>
      <c r="H139" s="6" t="str">
        <f t="shared" si="7"/>
        <v/>
      </c>
      <c r="I139" s="5" t="str">
        <f t="shared" si="8"/>
        <v/>
      </c>
      <c r="J139" s="5"/>
    </row>
    <row r="140" spans="1:10" x14ac:dyDescent="0.25">
      <c r="A140" s="4" t="str">
        <f t="shared" ca="1" si="6"/>
        <v/>
      </c>
      <c r="B140" s="5"/>
      <c r="C140" s="5"/>
      <c r="D140" s="5"/>
      <c r="E140" s="5"/>
      <c r="F140" s="6"/>
      <c r="G140" s="6"/>
      <c r="H140" s="6" t="str">
        <f t="shared" si="7"/>
        <v/>
      </c>
      <c r="I140" s="5" t="str">
        <f t="shared" si="8"/>
        <v/>
      </c>
      <c r="J140" s="5"/>
    </row>
    <row r="141" spans="1:10" x14ac:dyDescent="0.25">
      <c r="A141" s="4" t="str">
        <f t="shared" ca="1" si="6"/>
        <v/>
      </c>
      <c r="B141" s="5"/>
      <c r="C141" s="5"/>
      <c r="D141" s="5"/>
      <c r="E141" s="5"/>
      <c r="F141" s="6"/>
      <c r="G141" s="6"/>
      <c r="H141" s="6" t="str">
        <f t="shared" si="7"/>
        <v/>
      </c>
      <c r="I141" s="5" t="str">
        <f t="shared" si="8"/>
        <v/>
      </c>
      <c r="J141" s="5"/>
    </row>
    <row r="142" spans="1:10" x14ac:dyDescent="0.25">
      <c r="A142" s="4" t="str">
        <f t="shared" ca="1" si="6"/>
        <v/>
      </c>
      <c r="B142" s="5"/>
      <c r="C142" s="5"/>
      <c r="D142" s="5"/>
      <c r="E142" s="5"/>
      <c r="F142" s="6"/>
      <c r="G142" s="6"/>
      <c r="H142" s="6" t="str">
        <f t="shared" si="7"/>
        <v/>
      </c>
      <c r="I142" s="5" t="str">
        <f t="shared" si="8"/>
        <v/>
      </c>
      <c r="J142" s="5"/>
    </row>
    <row r="143" spans="1:10" x14ac:dyDescent="0.25">
      <c r="A143" s="4" t="str">
        <f t="shared" ca="1" si="6"/>
        <v/>
      </c>
      <c r="B143" s="5"/>
      <c r="C143" s="5"/>
      <c r="D143" s="5"/>
      <c r="E143" s="5"/>
      <c r="F143" s="6"/>
      <c r="G143" s="6"/>
      <c r="H143" s="6" t="str">
        <f t="shared" si="7"/>
        <v/>
      </c>
      <c r="I143" s="5" t="str">
        <f t="shared" si="8"/>
        <v/>
      </c>
      <c r="J143" s="5"/>
    </row>
    <row r="144" spans="1:10" x14ac:dyDescent="0.25">
      <c r="A144" s="4" t="str">
        <f t="shared" ca="1" si="6"/>
        <v/>
      </c>
      <c r="B144" s="5"/>
      <c r="C144" s="5"/>
      <c r="D144" s="5"/>
      <c r="E144" s="5"/>
      <c r="F144" s="6"/>
      <c r="G144" s="6"/>
      <c r="H144" s="6" t="str">
        <f t="shared" si="7"/>
        <v/>
      </c>
      <c r="I144" s="5" t="str">
        <f t="shared" si="8"/>
        <v/>
      </c>
      <c r="J144" s="5"/>
    </row>
    <row r="145" spans="1:10" x14ac:dyDescent="0.25">
      <c r="A145" s="4" t="str">
        <f t="shared" ref="A145:A208" ca="1" si="9">IF(B145="","",TODAY())</f>
        <v/>
      </c>
      <c r="B145" s="5"/>
      <c r="C145" s="5"/>
      <c r="D145" s="5"/>
      <c r="E145" s="5"/>
      <c r="F145" s="6"/>
      <c r="G145" s="6"/>
      <c r="H145" s="6" t="str">
        <f t="shared" si="7"/>
        <v/>
      </c>
      <c r="I145" s="5" t="str">
        <f t="shared" si="8"/>
        <v/>
      </c>
      <c r="J145" s="5"/>
    </row>
    <row r="146" spans="1:10" x14ac:dyDescent="0.25">
      <c r="A146" s="4" t="str">
        <f t="shared" ca="1" si="9"/>
        <v/>
      </c>
      <c r="B146" s="5"/>
      <c r="C146" s="5"/>
      <c r="D146" s="5"/>
      <c r="E146" s="5"/>
      <c r="F146" s="6"/>
      <c r="G146" s="6"/>
      <c r="H146" s="6" t="str">
        <f t="shared" si="7"/>
        <v/>
      </c>
      <c r="I146" s="5" t="str">
        <f t="shared" si="8"/>
        <v/>
      </c>
      <c r="J146" s="5"/>
    </row>
    <row r="147" spans="1:10" x14ac:dyDescent="0.25">
      <c r="A147" s="4" t="str">
        <f t="shared" ca="1" si="9"/>
        <v/>
      </c>
      <c r="B147" s="5"/>
      <c r="C147" s="5"/>
      <c r="D147" s="5"/>
      <c r="E147" s="5"/>
      <c r="F147" s="6"/>
      <c r="G147" s="6"/>
      <c r="H147" s="6" t="str">
        <f t="shared" si="7"/>
        <v/>
      </c>
      <c r="I147" s="5" t="str">
        <f t="shared" si="8"/>
        <v/>
      </c>
      <c r="J147" s="5"/>
    </row>
    <row r="148" spans="1:10" x14ac:dyDescent="0.25">
      <c r="A148" s="4" t="str">
        <f t="shared" ca="1" si="9"/>
        <v/>
      </c>
      <c r="B148" s="5"/>
      <c r="C148" s="5"/>
      <c r="D148" s="5"/>
      <c r="E148" s="5"/>
      <c r="F148" s="6"/>
      <c r="G148" s="6"/>
      <c r="H148" s="6" t="str">
        <f t="shared" si="7"/>
        <v/>
      </c>
      <c r="I148" s="5" t="str">
        <f t="shared" si="8"/>
        <v/>
      </c>
      <c r="J148" s="5"/>
    </row>
    <row r="149" spans="1:10" x14ac:dyDescent="0.25">
      <c r="A149" s="4" t="str">
        <f t="shared" ca="1" si="9"/>
        <v/>
      </c>
      <c r="B149" s="5"/>
      <c r="C149" s="5"/>
      <c r="D149" s="5"/>
      <c r="E149" s="5"/>
      <c r="F149" s="6"/>
      <c r="G149" s="6"/>
      <c r="H149" s="6" t="str">
        <f t="shared" si="7"/>
        <v/>
      </c>
      <c r="I149" s="5" t="str">
        <f t="shared" si="8"/>
        <v/>
      </c>
      <c r="J149" s="5"/>
    </row>
    <row r="150" spans="1:10" x14ac:dyDescent="0.25">
      <c r="A150" s="4" t="str">
        <f t="shared" ca="1" si="9"/>
        <v/>
      </c>
      <c r="B150" s="5"/>
      <c r="C150" s="5"/>
      <c r="D150" s="5"/>
      <c r="E150" s="5"/>
      <c r="F150" s="6"/>
      <c r="G150" s="6"/>
      <c r="H150" s="6" t="str">
        <f t="shared" si="7"/>
        <v/>
      </c>
      <c r="I150" s="5" t="str">
        <f t="shared" si="8"/>
        <v/>
      </c>
      <c r="J150" s="5"/>
    </row>
    <row r="151" spans="1:10" x14ac:dyDescent="0.25">
      <c r="A151" s="4" t="str">
        <f t="shared" ca="1" si="9"/>
        <v/>
      </c>
      <c r="B151" s="5"/>
      <c r="C151" s="5"/>
      <c r="D151" s="5"/>
      <c r="E151" s="5"/>
      <c r="F151" s="6"/>
      <c r="G151" s="6"/>
      <c r="H151" s="6" t="str">
        <f t="shared" si="7"/>
        <v/>
      </c>
      <c r="I151" s="5" t="str">
        <f t="shared" si="8"/>
        <v/>
      </c>
      <c r="J151" s="5"/>
    </row>
    <row r="152" spans="1:10" x14ac:dyDescent="0.25">
      <c r="A152" s="4" t="str">
        <f t="shared" ca="1" si="9"/>
        <v/>
      </c>
      <c r="B152" s="5"/>
      <c r="C152" s="5"/>
      <c r="D152" s="5"/>
      <c r="E152" s="5"/>
      <c r="F152" s="6"/>
      <c r="G152" s="6"/>
      <c r="H152" s="6" t="str">
        <f t="shared" si="7"/>
        <v/>
      </c>
      <c r="I152" s="5" t="str">
        <f t="shared" si="8"/>
        <v/>
      </c>
      <c r="J152" s="5"/>
    </row>
    <row r="153" spans="1:10" x14ac:dyDescent="0.25">
      <c r="A153" s="4" t="str">
        <f t="shared" ca="1" si="9"/>
        <v/>
      </c>
      <c r="B153" s="5"/>
      <c r="C153" s="5"/>
      <c r="D153" s="5"/>
      <c r="E153" s="5"/>
      <c r="F153" s="6"/>
      <c r="G153" s="6"/>
      <c r="H153" s="6" t="str">
        <f t="shared" si="7"/>
        <v/>
      </c>
      <c r="I153" s="5" t="str">
        <f t="shared" si="8"/>
        <v/>
      </c>
      <c r="J153" s="5"/>
    </row>
    <row r="154" spans="1:10" x14ac:dyDescent="0.25">
      <c r="A154" s="4" t="str">
        <f t="shared" ca="1" si="9"/>
        <v/>
      </c>
      <c r="B154" s="5"/>
      <c r="C154" s="5"/>
      <c r="D154" s="5"/>
      <c r="E154" s="5"/>
      <c r="F154" s="6"/>
      <c r="G154" s="6"/>
      <c r="H154" s="6" t="str">
        <f t="shared" si="7"/>
        <v/>
      </c>
      <c r="I154" s="5" t="str">
        <f t="shared" si="8"/>
        <v/>
      </c>
      <c r="J154" s="5"/>
    </row>
    <row r="155" spans="1:10" x14ac:dyDescent="0.25">
      <c r="A155" s="4" t="str">
        <f t="shared" ca="1" si="9"/>
        <v/>
      </c>
      <c r="B155" s="5"/>
      <c r="C155" s="5"/>
      <c r="D155" s="5"/>
      <c r="E155" s="5"/>
      <c r="F155" s="6"/>
      <c r="G155" s="6"/>
      <c r="H155" s="6" t="str">
        <f t="shared" si="7"/>
        <v/>
      </c>
      <c r="I155" s="5" t="str">
        <f t="shared" si="8"/>
        <v/>
      </c>
      <c r="J155" s="5"/>
    </row>
    <row r="156" spans="1:10" x14ac:dyDescent="0.25">
      <c r="A156" s="4" t="str">
        <f t="shared" ca="1" si="9"/>
        <v/>
      </c>
      <c r="B156" s="5"/>
      <c r="C156" s="5"/>
      <c r="D156" s="5"/>
      <c r="E156" s="5"/>
      <c r="F156" s="6"/>
      <c r="G156" s="6"/>
      <c r="H156" s="6" t="str">
        <f t="shared" si="7"/>
        <v/>
      </c>
      <c r="I156" s="5" t="str">
        <f t="shared" si="8"/>
        <v/>
      </c>
      <c r="J156" s="5"/>
    </row>
    <row r="157" spans="1:10" x14ac:dyDescent="0.25">
      <c r="A157" s="4" t="str">
        <f t="shared" ca="1" si="9"/>
        <v/>
      </c>
      <c r="B157" s="5"/>
      <c r="C157" s="5"/>
      <c r="D157" s="5"/>
      <c r="E157" s="5"/>
      <c r="F157" s="6"/>
      <c r="G157" s="6"/>
      <c r="H157" s="6" t="str">
        <f t="shared" si="7"/>
        <v/>
      </c>
      <c r="I157" s="5" t="str">
        <f t="shared" si="8"/>
        <v/>
      </c>
      <c r="J157" s="5"/>
    </row>
    <row r="158" spans="1:10" x14ac:dyDescent="0.25">
      <c r="A158" s="4" t="str">
        <f t="shared" ca="1" si="9"/>
        <v/>
      </c>
      <c r="B158" s="5"/>
      <c r="C158" s="5"/>
      <c r="D158" s="5"/>
      <c r="E158" s="5"/>
      <c r="F158" s="6"/>
      <c r="G158" s="6"/>
      <c r="H158" s="6" t="str">
        <f t="shared" si="7"/>
        <v/>
      </c>
      <c r="I158" s="5" t="str">
        <f t="shared" si="8"/>
        <v/>
      </c>
      <c r="J158" s="5"/>
    </row>
    <row r="159" spans="1:10" x14ac:dyDescent="0.25">
      <c r="A159" s="4" t="str">
        <f t="shared" ca="1" si="9"/>
        <v/>
      </c>
      <c r="B159" s="5"/>
      <c r="C159" s="5"/>
      <c r="D159" s="5"/>
      <c r="E159" s="5"/>
      <c r="F159" s="6"/>
      <c r="G159" s="6"/>
      <c r="H159" s="6" t="str">
        <f t="shared" si="7"/>
        <v/>
      </c>
      <c r="I159" s="5" t="str">
        <f t="shared" si="8"/>
        <v/>
      </c>
      <c r="J159" s="5"/>
    </row>
    <row r="160" spans="1:10" x14ac:dyDescent="0.25">
      <c r="A160" s="4" t="str">
        <f t="shared" ca="1" si="9"/>
        <v/>
      </c>
      <c r="B160" s="5"/>
      <c r="C160" s="5"/>
      <c r="D160" s="5"/>
      <c r="E160" s="5"/>
      <c r="F160" s="6"/>
      <c r="G160" s="6"/>
      <c r="H160" s="6" t="str">
        <f t="shared" si="7"/>
        <v/>
      </c>
      <c r="I160" s="5" t="str">
        <f t="shared" si="8"/>
        <v/>
      </c>
      <c r="J160" s="5"/>
    </row>
    <row r="161" spans="1:10" x14ac:dyDescent="0.25">
      <c r="A161" s="4" t="str">
        <f t="shared" ca="1" si="9"/>
        <v/>
      </c>
      <c r="B161" s="5"/>
      <c r="C161" s="5"/>
      <c r="D161" s="5"/>
      <c r="E161" s="5"/>
      <c r="F161" s="6"/>
      <c r="G161" s="6"/>
      <c r="H161" s="6" t="str">
        <f t="shared" si="7"/>
        <v/>
      </c>
      <c r="I161" s="5" t="str">
        <f t="shared" si="8"/>
        <v/>
      </c>
      <c r="J161" s="5"/>
    </row>
    <row r="162" spans="1:10" x14ac:dyDescent="0.25">
      <c r="A162" s="4" t="str">
        <f t="shared" ca="1" si="9"/>
        <v/>
      </c>
      <c r="B162" s="5"/>
      <c r="C162" s="5"/>
      <c r="D162" s="5"/>
      <c r="E162" s="5"/>
      <c r="F162" s="6"/>
      <c r="G162" s="6"/>
      <c r="H162" s="6" t="str">
        <f t="shared" si="7"/>
        <v/>
      </c>
      <c r="I162" s="5" t="str">
        <f t="shared" si="8"/>
        <v/>
      </c>
      <c r="J162" s="5"/>
    </row>
    <row r="163" spans="1:10" x14ac:dyDescent="0.25">
      <c r="A163" s="4" t="str">
        <f t="shared" ca="1" si="9"/>
        <v/>
      </c>
      <c r="B163" s="5"/>
      <c r="C163" s="5"/>
      <c r="D163" s="5"/>
      <c r="E163" s="5"/>
      <c r="F163" s="6"/>
      <c r="G163" s="6"/>
      <c r="H163" s="6" t="str">
        <f t="shared" si="7"/>
        <v/>
      </c>
      <c r="I163" s="5" t="str">
        <f t="shared" si="8"/>
        <v/>
      </c>
      <c r="J163" s="5"/>
    </row>
    <row r="164" spans="1:10" x14ac:dyDescent="0.25">
      <c r="A164" s="4" t="str">
        <f t="shared" ca="1" si="9"/>
        <v/>
      </c>
      <c r="B164" s="5"/>
      <c r="C164" s="5"/>
      <c r="D164" s="5"/>
      <c r="E164" s="5"/>
      <c r="F164" s="6"/>
      <c r="G164" s="6"/>
      <c r="H164" s="6" t="str">
        <f t="shared" si="7"/>
        <v/>
      </c>
      <c r="I164" s="5" t="str">
        <f t="shared" si="8"/>
        <v/>
      </c>
      <c r="J164" s="5"/>
    </row>
    <row r="165" spans="1:10" x14ac:dyDescent="0.25">
      <c r="A165" s="4" t="str">
        <f t="shared" ca="1" si="9"/>
        <v/>
      </c>
      <c r="B165" s="5"/>
      <c r="C165" s="5"/>
      <c r="D165" s="5"/>
      <c r="E165" s="5"/>
      <c r="F165" s="6"/>
      <c r="G165" s="6"/>
      <c r="H165" s="6" t="str">
        <f t="shared" si="7"/>
        <v/>
      </c>
      <c r="I165" s="5" t="str">
        <f t="shared" si="8"/>
        <v/>
      </c>
      <c r="J165" s="5"/>
    </row>
    <row r="166" spans="1:10" x14ac:dyDescent="0.25">
      <c r="A166" s="4" t="str">
        <f t="shared" ca="1" si="9"/>
        <v/>
      </c>
      <c r="B166" s="5"/>
      <c r="C166" s="5"/>
      <c r="D166" s="5"/>
      <c r="E166" s="5"/>
      <c r="F166" s="6"/>
      <c r="G166" s="6"/>
      <c r="H166" s="6" t="str">
        <f t="shared" si="7"/>
        <v/>
      </c>
      <c r="I166" s="5" t="str">
        <f t="shared" si="8"/>
        <v/>
      </c>
      <c r="J166" s="5"/>
    </row>
    <row r="167" spans="1:10" x14ac:dyDescent="0.25">
      <c r="A167" s="4" t="str">
        <f t="shared" ca="1" si="9"/>
        <v/>
      </c>
      <c r="B167" s="5"/>
      <c r="C167" s="5"/>
      <c r="D167" s="5"/>
      <c r="E167" s="5"/>
      <c r="F167" s="6"/>
      <c r="G167" s="6"/>
      <c r="H167" s="6" t="str">
        <f t="shared" si="7"/>
        <v/>
      </c>
      <c r="I167" s="5" t="str">
        <f t="shared" si="8"/>
        <v/>
      </c>
      <c r="J167" s="5"/>
    </row>
    <row r="168" spans="1:10" x14ac:dyDescent="0.25">
      <c r="A168" s="4" t="str">
        <f t="shared" ca="1" si="9"/>
        <v/>
      </c>
      <c r="B168" s="5"/>
      <c r="C168" s="5"/>
      <c r="D168" s="5"/>
      <c r="E168" s="5"/>
      <c r="F168" s="6"/>
      <c r="G168" s="6"/>
      <c r="H168" s="6" t="str">
        <f t="shared" si="7"/>
        <v/>
      </c>
      <c r="I168" s="5" t="str">
        <f t="shared" si="8"/>
        <v/>
      </c>
      <c r="J168" s="5"/>
    </row>
    <row r="169" spans="1:10" x14ac:dyDescent="0.25">
      <c r="A169" s="4" t="str">
        <f t="shared" ca="1" si="9"/>
        <v/>
      </c>
      <c r="B169" s="5"/>
      <c r="C169" s="5"/>
      <c r="D169" s="5"/>
      <c r="E169" s="5"/>
      <c r="F169" s="6"/>
      <c r="G169" s="6"/>
      <c r="H169" s="6" t="str">
        <f t="shared" si="7"/>
        <v/>
      </c>
      <c r="I169" s="5" t="str">
        <f t="shared" si="8"/>
        <v/>
      </c>
      <c r="J169" s="5"/>
    </row>
    <row r="170" spans="1:10" x14ac:dyDescent="0.25">
      <c r="A170" s="4" t="str">
        <f t="shared" ca="1" si="9"/>
        <v/>
      </c>
      <c r="B170" s="5"/>
      <c r="C170" s="5"/>
      <c r="D170" s="5"/>
      <c r="E170" s="5"/>
      <c r="F170" s="6"/>
      <c r="G170" s="6"/>
      <c r="H170" s="6" t="str">
        <f t="shared" si="7"/>
        <v/>
      </c>
      <c r="I170" s="5" t="str">
        <f t="shared" si="8"/>
        <v/>
      </c>
      <c r="J170" s="5"/>
    </row>
    <row r="171" spans="1:10" x14ac:dyDescent="0.25">
      <c r="A171" s="4" t="str">
        <f t="shared" ca="1" si="9"/>
        <v/>
      </c>
      <c r="B171" s="5"/>
      <c r="C171" s="5"/>
      <c r="D171" s="5"/>
      <c r="E171" s="5"/>
      <c r="F171" s="6"/>
      <c r="G171" s="6"/>
      <c r="H171" s="6" t="str">
        <f t="shared" si="7"/>
        <v/>
      </c>
      <c r="I171" s="5" t="str">
        <f t="shared" si="8"/>
        <v/>
      </c>
      <c r="J171" s="5"/>
    </row>
    <row r="172" spans="1:10" x14ac:dyDescent="0.25">
      <c r="A172" s="4" t="str">
        <f t="shared" ca="1" si="9"/>
        <v/>
      </c>
      <c r="B172" s="5"/>
      <c r="C172" s="5"/>
      <c r="D172" s="5"/>
      <c r="E172" s="5"/>
      <c r="F172" s="6"/>
      <c r="G172" s="6"/>
      <c r="H172" s="6" t="str">
        <f t="shared" si="7"/>
        <v/>
      </c>
      <c r="I172" s="5" t="str">
        <f t="shared" si="8"/>
        <v/>
      </c>
      <c r="J172" s="5"/>
    </row>
    <row r="173" spans="1:10" x14ac:dyDescent="0.25">
      <c r="A173" s="4" t="str">
        <f t="shared" ca="1" si="9"/>
        <v/>
      </c>
      <c r="B173" s="5"/>
      <c r="C173" s="5"/>
      <c r="D173" s="5"/>
      <c r="E173" s="5"/>
      <c r="F173" s="6"/>
      <c r="G173" s="6"/>
      <c r="H173" s="6" t="str">
        <f t="shared" si="7"/>
        <v/>
      </c>
      <c r="I173" s="5" t="str">
        <f t="shared" si="8"/>
        <v/>
      </c>
      <c r="J173" s="5"/>
    </row>
    <row r="174" spans="1:10" x14ac:dyDescent="0.25">
      <c r="A174" s="4" t="str">
        <f t="shared" ca="1" si="9"/>
        <v/>
      </c>
      <c r="B174" s="5"/>
      <c r="C174" s="5"/>
      <c r="D174" s="5"/>
      <c r="E174" s="5"/>
      <c r="F174" s="6"/>
      <c r="G174" s="6"/>
      <c r="H174" s="6" t="str">
        <f t="shared" si="7"/>
        <v/>
      </c>
      <c r="I174" s="5" t="str">
        <f t="shared" si="8"/>
        <v/>
      </c>
      <c r="J174" s="5"/>
    </row>
    <row r="175" spans="1:10" x14ac:dyDescent="0.25">
      <c r="A175" s="4" t="str">
        <f t="shared" ca="1" si="9"/>
        <v/>
      </c>
      <c r="B175" s="5"/>
      <c r="C175" s="5"/>
      <c r="D175" s="5"/>
      <c r="E175" s="5"/>
      <c r="F175" s="6"/>
      <c r="G175" s="6"/>
      <c r="H175" s="6" t="str">
        <f t="shared" si="7"/>
        <v/>
      </c>
      <c r="I175" s="5" t="str">
        <f t="shared" si="8"/>
        <v/>
      </c>
      <c r="J175" s="5"/>
    </row>
    <row r="176" spans="1:10" x14ac:dyDescent="0.25">
      <c r="A176" s="4" t="str">
        <f t="shared" ca="1" si="9"/>
        <v/>
      </c>
      <c r="B176" s="5"/>
      <c r="C176" s="5"/>
      <c r="D176" s="5"/>
      <c r="E176" s="5"/>
      <c r="F176" s="6"/>
      <c r="G176" s="6"/>
      <c r="H176" s="6" t="str">
        <f t="shared" si="7"/>
        <v/>
      </c>
      <c r="I176" s="5" t="str">
        <f t="shared" si="8"/>
        <v/>
      </c>
      <c r="J176" s="5"/>
    </row>
    <row r="177" spans="1:10" x14ac:dyDescent="0.25">
      <c r="A177" s="4" t="str">
        <f t="shared" ca="1" si="9"/>
        <v/>
      </c>
      <c r="B177" s="5"/>
      <c r="C177" s="5"/>
      <c r="D177" s="5"/>
      <c r="E177" s="5"/>
      <c r="F177" s="6"/>
      <c r="G177" s="6"/>
      <c r="H177" s="6" t="str">
        <f t="shared" si="7"/>
        <v/>
      </c>
      <c r="I177" s="5" t="str">
        <f t="shared" si="8"/>
        <v/>
      </c>
      <c r="J177" s="5"/>
    </row>
    <row r="178" spans="1:10" x14ac:dyDescent="0.25">
      <c r="A178" s="4" t="str">
        <f t="shared" ca="1" si="9"/>
        <v/>
      </c>
      <c r="B178" s="5"/>
      <c r="C178" s="5"/>
      <c r="D178" s="5"/>
      <c r="E178" s="5"/>
      <c r="F178" s="6"/>
      <c r="G178" s="6"/>
      <c r="H178" s="6" t="str">
        <f t="shared" si="7"/>
        <v/>
      </c>
      <c r="I178" s="5" t="str">
        <f t="shared" si="8"/>
        <v/>
      </c>
      <c r="J178" s="5"/>
    </row>
    <row r="179" spans="1:10" x14ac:dyDescent="0.25">
      <c r="A179" s="4" t="str">
        <f t="shared" ca="1" si="9"/>
        <v/>
      </c>
      <c r="B179" s="5"/>
      <c r="C179" s="5"/>
      <c r="D179" s="5"/>
      <c r="E179" s="5"/>
      <c r="F179" s="6"/>
      <c r="G179" s="6"/>
      <c r="H179" s="6" t="str">
        <f t="shared" si="7"/>
        <v/>
      </c>
      <c r="I179" s="5" t="str">
        <f t="shared" si="8"/>
        <v/>
      </c>
      <c r="J179" s="5"/>
    </row>
    <row r="180" spans="1:10" x14ac:dyDescent="0.25">
      <c r="A180" s="4" t="str">
        <f t="shared" ca="1" si="9"/>
        <v/>
      </c>
      <c r="B180" s="5"/>
      <c r="C180" s="5"/>
      <c r="D180" s="5"/>
      <c r="E180" s="5"/>
      <c r="F180" s="6"/>
      <c r="G180" s="6"/>
      <c r="H180" s="6" t="str">
        <f t="shared" si="7"/>
        <v/>
      </c>
      <c r="I180" s="5" t="str">
        <f t="shared" si="8"/>
        <v/>
      </c>
      <c r="J180" s="5"/>
    </row>
    <row r="181" spans="1:10" x14ac:dyDescent="0.25">
      <c r="A181" s="4" t="str">
        <f t="shared" ca="1" si="9"/>
        <v/>
      </c>
      <c r="B181" s="5"/>
      <c r="C181" s="5"/>
      <c r="D181" s="5"/>
      <c r="E181" s="5"/>
      <c r="F181" s="6"/>
      <c r="G181" s="6"/>
      <c r="H181" s="6" t="str">
        <f t="shared" si="7"/>
        <v/>
      </c>
      <c r="I181" s="5" t="str">
        <f t="shared" si="8"/>
        <v/>
      </c>
      <c r="J181" s="5"/>
    </row>
    <row r="182" spans="1:10" x14ac:dyDescent="0.25">
      <c r="A182" s="4" t="str">
        <f t="shared" ca="1" si="9"/>
        <v/>
      </c>
      <c r="B182" s="5"/>
      <c r="C182" s="5"/>
      <c r="D182" s="5"/>
      <c r="E182" s="5"/>
      <c r="F182" s="6"/>
      <c r="G182" s="6"/>
      <c r="H182" s="6" t="str">
        <f t="shared" si="7"/>
        <v/>
      </c>
      <c r="I182" s="5" t="str">
        <f t="shared" si="8"/>
        <v/>
      </c>
      <c r="J182" s="5"/>
    </row>
    <row r="183" spans="1:10" x14ac:dyDescent="0.25">
      <c r="A183" s="4" t="str">
        <f t="shared" ca="1" si="9"/>
        <v/>
      </c>
      <c r="B183" s="5"/>
      <c r="C183" s="5"/>
      <c r="D183" s="5"/>
      <c r="E183" s="5"/>
      <c r="F183" s="6"/>
      <c r="G183" s="6"/>
      <c r="H183" s="6" t="str">
        <f t="shared" si="7"/>
        <v/>
      </c>
      <c r="I183" s="5" t="str">
        <f t="shared" si="8"/>
        <v/>
      </c>
      <c r="J183" s="5"/>
    </row>
    <row r="184" spans="1:10" x14ac:dyDescent="0.25">
      <c r="A184" s="4" t="str">
        <f t="shared" ca="1" si="9"/>
        <v/>
      </c>
      <c r="B184" s="5"/>
      <c r="C184" s="5"/>
      <c r="D184" s="5"/>
      <c r="E184" s="5"/>
      <c r="F184" s="6"/>
      <c r="G184" s="6"/>
      <c r="H184" s="6" t="str">
        <f t="shared" si="7"/>
        <v/>
      </c>
      <c r="I184" s="5" t="str">
        <f t="shared" si="8"/>
        <v/>
      </c>
      <c r="J184" s="5"/>
    </row>
    <row r="185" spans="1:10" x14ac:dyDescent="0.25">
      <c r="A185" s="4" t="str">
        <f t="shared" ca="1" si="9"/>
        <v/>
      </c>
      <c r="B185" s="5"/>
      <c r="C185" s="5"/>
      <c r="D185" s="5"/>
      <c r="E185" s="5"/>
      <c r="F185" s="6"/>
      <c r="G185" s="6"/>
      <c r="H185" s="6" t="str">
        <f t="shared" si="7"/>
        <v/>
      </c>
      <c r="I185" s="5" t="str">
        <f t="shared" si="8"/>
        <v/>
      </c>
      <c r="J185" s="5"/>
    </row>
    <row r="186" spans="1:10" x14ac:dyDescent="0.25">
      <c r="A186" s="4" t="str">
        <f t="shared" ca="1" si="9"/>
        <v/>
      </c>
      <c r="B186" s="5"/>
      <c r="C186" s="5"/>
      <c r="D186" s="5"/>
      <c r="E186" s="5"/>
      <c r="F186" s="6"/>
      <c r="G186" s="6"/>
      <c r="H186" s="6" t="str">
        <f t="shared" si="7"/>
        <v/>
      </c>
      <c r="I186" s="5" t="str">
        <f t="shared" si="8"/>
        <v/>
      </c>
      <c r="J186" s="5"/>
    </row>
    <row r="187" spans="1:10" x14ac:dyDescent="0.25">
      <c r="A187" s="4" t="str">
        <f t="shared" ca="1" si="9"/>
        <v/>
      </c>
      <c r="B187" s="5"/>
      <c r="C187" s="5"/>
      <c r="D187" s="5"/>
      <c r="E187" s="5"/>
      <c r="F187" s="6"/>
      <c r="G187" s="6"/>
      <c r="H187" s="6" t="str">
        <f t="shared" si="7"/>
        <v/>
      </c>
      <c r="I187" s="5" t="str">
        <f t="shared" si="8"/>
        <v/>
      </c>
      <c r="J187" s="5"/>
    </row>
    <row r="188" spans="1:10" x14ac:dyDescent="0.25">
      <c r="A188" s="4" t="str">
        <f t="shared" ca="1" si="9"/>
        <v/>
      </c>
      <c r="B188" s="5"/>
      <c r="C188" s="5"/>
      <c r="D188" s="5"/>
      <c r="E188" s="5"/>
      <c r="F188" s="6"/>
      <c r="G188" s="6"/>
      <c r="H188" s="6" t="str">
        <f t="shared" si="7"/>
        <v/>
      </c>
      <c r="I188" s="5" t="str">
        <f t="shared" si="8"/>
        <v/>
      </c>
      <c r="J188" s="5"/>
    </row>
    <row r="189" spans="1:10" x14ac:dyDescent="0.25">
      <c r="A189" s="4" t="str">
        <f t="shared" ca="1" si="9"/>
        <v/>
      </c>
      <c r="B189" s="5"/>
      <c r="C189" s="5"/>
      <c r="D189" s="5"/>
      <c r="E189" s="5"/>
      <c r="F189" s="6"/>
      <c r="G189" s="6"/>
      <c r="H189" s="6" t="str">
        <f t="shared" si="7"/>
        <v/>
      </c>
      <c r="I189" s="5" t="str">
        <f t="shared" si="8"/>
        <v/>
      </c>
      <c r="J189" s="5"/>
    </row>
    <row r="190" spans="1:10" x14ac:dyDescent="0.25">
      <c r="A190" s="4" t="str">
        <f t="shared" ca="1" si="9"/>
        <v/>
      </c>
      <c r="B190" s="5"/>
      <c r="C190" s="5"/>
      <c r="D190" s="5"/>
      <c r="E190" s="5"/>
      <c r="F190" s="6"/>
      <c r="G190" s="6"/>
      <c r="H190" s="6" t="str">
        <f t="shared" si="7"/>
        <v/>
      </c>
      <c r="I190" s="5" t="str">
        <f t="shared" si="8"/>
        <v/>
      </c>
      <c r="J190" s="5"/>
    </row>
    <row r="191" spans="1:10" x14ac:dyDescent="0.25">
      <c r="A191" s="4" t="str">
        <f t="shared" ca="1" si="9"/>
        <v/>
      </c>
      <c r="B191" s="5"/>
      <c r="C191" s="5"/>
      <c r="D191" s="5"/>
      <c r="E191" s="5"/>
      <c r="F191" s="6"/>
      <c r="G191" s="6"/>
      <c r="H191" s="6" t="str">
        <f t="shared" si="7"/>
        <v/>
      </c>
      <c r="I191" s="5" t="str">
        <f t="shared" si="8"/>
        <v/>
      </c>
      <c r="J191" s="5"/>
    </row>
    <row r="192" spans="1:10" x14ac:dyDescent="0.25">
      <c r="A192" s="4" t="str">
        <f t="shared" ca="1" si="9"/>
        <v/>
      </c>
      <c r="B192" s="5"/>
      <c r="C192" s="5"/>
      <c r="D192" s="5"/>
      <c r="E192" s="5"/>
      <c r="F192" s="6"/>
      <c r="G192" s="6"/>
      <c r="H192" s="6" t="str">
        <f t="shared" si="7"/>
        <v/>
      </c>
      <c r="I192" s="5" t="str">
        <f t="shared" si="8"/>
        <v/>
      </c>
      <c r="J192" s="5"/>
    </row>
    <row r="193" spans="1:10" x14ac:dyDescent="0.25">
      <c r="A193" s="4" t="str">
        <f t="shared" ca="1" si="9"/>
        <v/>
      </c>
      <c r="B193" s="5"/>
      <c r="C193" s="5"/>
      <c r="D193" s="5"/>
      <c r="E193" s="5"/>
      <c r="F193" s="6"/>
      <c r="G193" s="6"/>
      <c r="H193" s="6" t="str">
        <f t="shared" si="7"/>
        <v/>
      </c>
      <c r="I193" s="5" t="str">
        <f t="shared" si="8"/>
        <v/>
      </c>
      <c r="J193" s="5"/>
    </row>
    <row r="194" spans="1:10" x14ac:dyDescent="0.25">
      <c r="A194" s="4" t="str">
        <f t="shared" ca="1" si="9"/>
        <v/>
      </c>
      <c r="B194" s="5"/>
      <c r="C194" s="5"/>
      <c r="D194" s="5"/>
      <c r="E194" s="5"/>
      <c r="F194" s="6"/>
      <c r="G194" s="6"/>
      <c r="H194" s="6" t="str">
        <f t="shared" si="7"/>
        <v/>
      </c>
      <c r="I194" s="5" t="str">
        <f t="shared" si="8"/>
        <v/>
      </c>
      <c r="J194" s="5"/>
    </row>
    <row r="195" spans="1:10" x14ac:dyDescent="0.25">
      <c r="A195" s="4" t="str">
        <f t="shared" ca="1" si="9"/>
        <v/>
      </c>
      <c r="B195" s="5"/>
      <c r="C195" s="5"/>
      <c r="D195" s="5"/>
      <c r="E195" s="5"/>
      <c r="F195" s="6"/>
      <c r="G195" s="6"/>
      <c r="H195" s="6" t="str">
        <f t="shared" si="7"/>
        <v/>
      </c>
      <c r="I195" s="5" t="str">
        <f t="shared" si="8"/>
        <v/>
      </c>
      <c r="J195" s="5"/>
    </row>
    <row r="196" spans="1:10" x14ac:dyDescent="0.25">
      <c r="A196" s="4" t="str">
        <f t="shared" ca="1" si="9"/>
        <v/>
      </c>
      <c r="B196" s="5"/>
      <c r="C196" s="5"/>
      <c r="D196" s="5"/>
      <c r="E196" s="5"/>
      <c r="F196" s="6"/>
      <c r="G196" s="6"/>
      <c r="H196" s="6" t="str">
        <f t="shared" si="7"/>
        <v/>
      </c>
      <c r="I196" s="5" t="str">
        <f t="shared" si="8"/>
        <v/>
      </c>
      <c r="J196" s="5"/>
    </row>
    <row r="197" spans="1:10" x14ac:dyDescent="0.25">
      <c r="A197" s="4" t="str">
        <f t="shared" ca="1" si="9"/>
        <v/>
      </c>
      <c r="B197" s="5"/>
      <c r="C197" s="5"/>
      <c r="D197" s="5"/>
      <c r="E197" s="5"/>
      <c r="F197" s="6"/>
      <c r="G197" s="6"/>
      <c r="H197" s="6" t="str">
        <f t="shared" ref="H197:H260" si="10">IF(F197="","",MAX(F197-G197,0))</f>
        <v/>
      </c>
      <c r="I197" s="5" t="str">
        <f t="shared" ref="I197:I260" si="11">IF(F197="","",IF(H197=0,"PAGADO","CRÉDITO"))</f>
        <v/>
      </c>
      <c r="J197" s="5"/>
    </row>
    <row r="198" spans="1:10" x14ac:dyDescent="0.25">
      <c r="A198" s="4" t="str">
        <f t="shared" ca="1" si="9"/>
        <v/>
      </c>
      <c r="B198" s="5"/>
      <c r="C198" s="5"/>
      <c r="D198" s="5"/>
      <c r="E198" s="5"/>
      <c r="F198" s="6"/>
      <c r="G198" s="6"/>
      <c r="H198" s="6" t="str">
        <f t="shared" si="10"/>
        <v/>
      </c>
      <c r="I198" s="5" t="str">
        <f t="shared" si="11"/>
        <v/>
      </c>
      <c r="J198" s="5"/>
    </row>
    <row r="199" spans="1:10" x14ac:dyDescent="0.25">
      <c r="A199" s="4" t="str">
        <f t="shared" ca="1" si="9"/>
        <v/>
      </c>
      <c r="B199" s="5"/>
      <c r="C199" s="5"/>
      <c r="D199" s="5"/>
      <c r="E199" s="5"/>
      <c r="F199" s="6"/>
      <c r="G199" s="6"/>
      <c r="H199" s="6" t="str">
        <f t="shared" si="10"/>
        <v/>
      </c>
      <c r="I199" s="5" t="str">
        <f t="shared" si="11"/>
        <v/>
      </c>
      <c r="J199" s="5"/>
    </row>
    <row r="200" spans="1:10" x14ac:dyDescent="0.25">
      <c r="A200" s="4" t="str">
        <f t="shared" ca="1" si="9"/>
        <v/>
      </c>
      <c r="B200" s="5"/>
      <c r="C200" s="5"/>
      <c r="D200" s="5"/>
      <c r="E200" s="5"/>
      <c r="F200" s="6"/>
      <c r="G200" s="6"/>
      <c r="H200" s="6" t="str">
        <f t="shared" si="10"/>
        <v/>
      </c>
      <c r="I200" s="5" t="str">
        <f t="shared" si="11"/>
        <v/>
      </c>
      <c r="J200" s="5"/>
    </row>
    <row r="201" spans="1:10" x14ac:dyDescent="0.25">
      <c r="A201" s="4" t="str">
        <f t="shared" ca="1" si="9"/>
        <v/>
      </c>
      <c r="B201" s="5"/>
      <c r="C201" s="5"/>
      <c r="D201" s="5"/>
      <c r="E201" s="5"/>
      <c r="F201" s="6"/>
      <c r="G201" s="6"/>
      <c r="H201" s="6" t="str">
        <f t="shared" si="10"/>
        <v/>
      </c>
      <c r="I201" s="5" t="str">
        <f t="shared" si="11"/>
        <v/>
      </c>
      <c r="J201" s="5"/>
    </row>
    <row r="202" spans="1:10" x14ac:dyDescent="0.25">
      <c r="A202" s="4" t="str">
        <f t="shared" ca="1" si="9"/>
        <v/>
      </c>
      <c r="B202" s="5"/>
      <c r="C202" s="5"/>
      <c r="D202" s="5"/>
      <c r="E202" s="5"/>
      <c r="F202" s="6"/>
      <c r="G202" s="6"/>
      <c r="H202" s="6" t="str">
        <f t="shared" si="10"/>
        <v/>
      </c>
      <c r="I202" s="5" t="str">
        <f t="shared" si="11"/>
        <v/>
      </c>
      <c r="J202" s="5"/>
    </row>
    <row r="203" spans="1:10" x14ac:dyDescent="0.25">
      <c r="A203" s="4" t="str">
        <f t="shared" ca="1" si="9"/>
        <v/>
      </c>
      <c r="B203" s="5"/>
      <c r="C203" s="5"/>
      <c r="D203" s="5"/>
      <c r="E203" s="5"/>
      <c r="F203" s="6"/>
      <c r="G203" s="6"/>
      <c r="H203" s="6" t="str">
        <f t="shared" si="10"/>
        <v/>
      </c>
      <c r="I203" s="5" t="str">
        <f t="shared" si="11"/>
        <v/>
      </c>
      <c r="J203" s="5"/>
    </row>
    <row r="204" spans="1:10" x14ac:dyDescent="0.25">
      <c r="A204" s="4" t="str">
        <f t="shared" ca="1" si="9"/>
        <v/>
      </c>
      <c r="B204" s="5"/>
      <c r="C204" s="5"/>
      <c r="D204" s="5"/>
      <c r="E204" s="5"/>
      <c r="F204" s="6"/>
      <c r="G204" s="6"/>
      <c r="H204" s="6" t="str">
        <f t="shared" si="10"/>
        <v/>
      </c>
      <c r="I204" s="5" t="str">
        <f t="shared" si="11"/>
        <v/>
      </c>
      <c r="J204" s="5"/>
    </row>
    <row r="205" spans="1:10" x14ac:dyDescent="0.25">
      <c r="A205" s="4" t="str">
        <f t="shared" ca="1" si="9"/>
        <v/>
      </c>
      <c r="B205" s="5"/>
      <c r="C205" s="5"/>
      <c r="D205" s="5"/>
      <c r="E205" s="5"/>
      <c r="F205" s="6"/>
      <c r="G205" s="6"/>
      <c r="H205" s="6" t="str">
        <f t="shared" si="10"/>
        <v/>
      </c>
      <c r="I205" s="5" t="str">
        <f t="shared" si="11"/>
        <v/>
      </c>
      <c r="J205" s="5"/>
    </row>
    <row r="206" spans="1:10" x14ac:dyDescent="0.25">
      <c r="A206" s="4" t="str">
        <f t="shared" ca="1" si="9"/>
        <v/>
      </c>
      <c r="B206" s="5"/>
      <c r="C206" s="5"/>
      <c r="D206" s="5"/>
      <c r="E206" s="5"/>
      <c r="F206" s="6"/>
      <c r="G206" s="6"/>
      <c r="H206" s="6" t="str">
        <f t="shared" si="10"/>
        <v/>
      </c>
      <c r="I206" s="5" t="str">
        <f t="shared" si="11"/>
        <v/>
      </c>
      <c r="J206" s="5"/>
    </row>
    <row r="207" spans="1:10" x14ac:dyDescent="0.25">
      <c r="A207" s="4" t="str">
        <f t="shared" ca="1" si="9"/>
        <v/>
      </c>
      <c r="B207" s="5"/>
      <c r="C207" s="5"/>
      <c r="D207" s="5"/>
      <c r="E207" s="5"/>
      <c r="F207" s="6"/>
      <c r="G207" s="6"/>
      <c r="H207" s="6" t="str">
        <f t="shared" si="10"/>
        <v/>
      </c>
      <c r="I207" s="5" t="str">
        <f t="shared" si="11"/>
        <v/>
      </c>
      <c r="J207" s="5"/>
    </row>
    <row r="208" spans="1:10" x14ac:dyDescent="0.25">
      <c r="A208" s="4" t="str">
        <f t="shared" ca="1" si="9"/>
        <v/>
      </c>
      <c r="B208" s="5"/>
      <c r="C208" s="5"/>
      <c r="D208" s="5"/>
      <c r="E208" s="5"/>
      <c r="F208" s="6"/>
      <c r="G208" s="6"/>
      <c r="H208" s="6" t="str">
        <f t="shared" si="10"/>
        <v/>
      </c>
      <c r="I208" s="5" t="str">
        <f t="shared" si="11"/>
        <v/>
      </c>
      <c r="J208" s="5"/>
    </row>
    <row r="209" spans="1:10" x14ac:dyDescent="0.25">
      <c r="A209" s="4" t="str">
        <f t="shared" ref="A209:A272" ca="1" si="12">IF(B209="","",TODAY())</f>
        <v/>
      </c>
      <c r="B209" s="5"/>
      <c r="C209" s="5"/>
      <c r="D209" s="5"/>
      <c r="E209" s="5"/>
      <c r="F209" s="6"/>
      <c r="G209" s="6"/>
      <c r="H209" s="6" t="str">
        <f t="shared" si="10"/>
        <v/>
      </c>
      <c r="I209" s="5" t="str">
        <f t="shared" si="11"/>
        <v/>
      </c>
      <c r="J209" s="5"/>
    </row>
    <row r="210" spans="1:10" x14ac:dyDescent="0.25">
      <c r="A210" s="4" t="str">
        <f t="shared" ca="1" si="12"/>
        <v/>
      </c>
      <c r="B210" s="5"/>
      <c r="C210" s="5"/>
      <c r="D210" s="5"/>
      <c r="E210" s="5"/>
      <c r="F210" s="6"/>
      <c r="G210" s="6"/>
      <c r="H210" s="6" t="str">
        <f t="shared" si="10"/>
        <v/>
      </c>
      <c r="I210" s="5" t="str">
        <f t="shared" si="11"/>
        <v/>
      </c>
      <c r="J210" s="5"/>
    </row>
    <row r="211" spans="1:10" x14ac:dyDescent="0.25">
      <c r="A211" s="4" t="str">
        <f t="shared" ca="1" si="12"/>
        <v/>
      </c>
      <c r="B211" s="5"/>
      <c r="C211" s="5"/>
      <c r="D211" s="5"/>
      <c r="E211" s="5"/>
      <c r="F211" s="6"/>
      <c r="G211" s="6"/>
      <c r="H211" s="6" t="str">
        <f t="shared" si="10"/>
        <v/>
      </c>
      <c r="I211" s="5" t="str">
        <f t="shared" si="11"/>
        <v/>
      </c>
      <c r="J211" s="5"/>
    </row>
    <row r="212" spans="1:10" x14ac:dyDescent="0.25">
      <c r="A212" s="4" t="str">
        <f t="shared" ca="1" si="12"/>
        <v/>
      </c>
      <c r="B212" s="5"/>
      <c r="C212" s="5"/>
      <c r="D212" s="5"/>
      <c r="E212" s="5"/>
      <c r="F212" s="6"/>
      <c r="G212" s="6"/>
      <c r="H212" s="6" t="str">
        <f t="shared" si="10"/>
        <v/>
      </c>
      <c r="I212" s="5" t="str">
        <f t="shared" si="11"/>
        <v/>
      </c>
      <c r="J212" s="5"/>
    </row>
    <row r="213" spans="1:10" x14ac:dyDescent="0.25">
      <c r="A213" s="4" t="str">
        <f t="shared" ca="1" si="12"/>
        <v/>
      </c>
      <c r="B213" s="5"/>
      <c r="C213" s="5"/>
      <c r="D213" s="5"/>
      <c r="E213" s="5"/>
      <c r="F213" s="6"/>
      <c r="G213" s="6"/>
      <c r="H213" s="6" t="str">
        <f t="shared" si="10"/>
        <v/>
      </c>
      <c r="I213" s="5" t="str">
        <f t="shared" si="11"/>
        <v/>
      </c>
      <c r="J213" s="5"/>
    </row>
    <row r="214" spans="1:10" x14ac:dyDescent="0.25">
      <c r="A214" s="4" t="str">
        <f t="shared" ca="1" si="12"/>
        <v/>
      </c>
      <c r="B214" s="5"/>
      <c r="C214" s="5"/>
      <c r="D214" s="5"/>
      <c r="E214" s="5"/>
      <c r="F214" s="6"/>
      <c r="G214" s="6"/>
      <c r="H214" s="6" t="str">
        <f t="shared" si="10"/>
        <v/>
      </c>
      <c r="I214" s="5" t="str">
        <f t="shared" si="11"/>
        <v/>
      </c>
      <c r="J214" s="5"/>
    </row>
    <row r="215" spans="1:10" x14ac:dyDescent="0.25">
      <c r="A215" s="4" t="str">
        <f t="shared" ca="1" si="12"/>
        <v/>
      </c>
      <c r="B215" s="5"/>
      <c r="C215" s="5"/>
      <c r="D215" s="5"/>
      <c r="E215" s="5"/>
      <c r="F215" s="6"/>
      <c r="G215" s="6"/>
      <c r="H215" s="6" t="str">
        <f t="shared" si="10"/>
        <v/>
      </c>
      <c r="I215" s="5" t="str">
        <f t="shared" si="11"/>
        <v/>
      </c>
      <c r="J215" s="5"/>
    </row>
    <row r="216" spans="1:10" x14ac:dyDescent="0.25">
      <c r="A216" s="4" t="str">
        <f t="shared" ca="1" si="12"/>
        <v/>
      </c>
      <c r="B216" s="5"/>
      <c r="C216" s="5"/>
      <c r="D216" s="5"/>
      <c r="E216" s="5"/>
      <c r="F216" s="6"/>
      <c r="G216" s="6"/>
      <c r="H216" s="6" t="str">
        <f t="shared" si="10"/>
        <v/>
      </c>
      <c r="I216" s="5" t="str">
        <f t="shared" si="11"/>
        <v/>
      </c>
      <c r="J216" s="5"/>
    </row>
    <row r="217" spans="1:10" x14ac:dyDescent="0.25">
      <c r="A217" s="4" t="str">
        <f t="shared" ca="1" si="12"/>
        <v/>
      </c>
      <c r="B217" s="5"/>
      <c r="C217" s="5"/>
      <c r="D217" s="5"/>
      <c r="E217" s="5"/>
      <c r="F217" s="6"/>
      <c r="G217" s="6"/>
      <c r="H217" s="6" t="str">
        <f t="shared" si="10"/>
        <v/>
      </c>
      <c r="I217" s="5" t="str">
        <f t="shared" si="11"/>
        <v/>
      </c>
      <c r="J217" s="5"/>
    </row>
    <row r="218" spans="1:10" x14ac:dyDescent="0.25">
      <c r="A218" s="4" t="str">
        <f t="shared" ca="1" si="12"/>
        <v/>
      </c>
      <c r="B218" s="5"/>
      <c r="C218" s="5"/>
      <c r="D218" s="5"/>
      <c r="E218" s="5"/>
      <c r="F218" s="6"/>
      <c r="G218" s="6"/>
      <c r="H218" s="6" t="str">
        <f t="shared" si="10"/>
        <v/>
      </c>
      <c r="I218" s="5" t="str">
        <f t="shared" si="11"/>
        <v/>
      </c>
      <c r="J218" s="5"/>
    </row>
    <row r="219" spans="1:10" x14ac:dyDescent="0.25">
      <c r="A219" s="4" t="str">
        <f t="shared" ca="1" si="12"/>
        <v/>
      </c>
      <c r="B219" s="5"/>
      <c r="C219" s="5"/>
      <c r="D219" s="5"/>
      <c r="E219" s="5"/>
      <c r="F219" s="6"/>
      <c r="G219" s="6"/>
      <c r="H219" s="6" t="str">
        <f t="shared" si="10"/>
        <v/>
      </c>
      <c r="I219" s="5" t="str">
        <f t="shared" si="11"/>
        <v/>
      </c>
      <c r="J219" s="5"/>
    </row>
    <row r="220" spans="1:10" x14ac:dyDescent="0.25">
      <c r="A220" s="4" t="str">
        <f t="shared" ca="1" si="12"/>
        <v/>
      </c>
      <c r="B220" s="5"/>
      <c r="C220" s="5"/>
      <c r="D220" s="5"/>
      <c r="E220" s="5"/>
      <c r="F220" s="6"/>
      <c r="G220" s="6"/>
      <c r="H220" s="6" t="str">
        <f t="shared" si="10"/>
        <v/>
      </c>
      <c r="I220" s="5" t="str">
        <f t="shared" si="11"/>
        <v/>
      </c>
      <c r="J220" s="5"/>
    </row>
    <row r="221" spans="1:10" x14ac:dyDescent="0.25">
      <c r="A221" s="4" t="str">
        <f t="shared" ca="1" si="12"/>
        <v/>
      </c>
      <c r="B221" s="5"/>
      <c r="C221" s="5"/>
      <c r="D221" s="5"/>
      <c r="E221" s="5"/>
      <c r="F221" s="6"/>
      <c r="G221" s="6"/>
      <c r="H221" s="6" t="str">
        <f t="shared" si="10"/>
        <v/>
      </c>
      <c r="I221" s="5" t="str">
        <f t="shared" si="11"/>
        <v/>
      </c>
      <c r="J221" s="5"/>
    </row>
    <row r="222" spans="1:10" x14ac:dyDescent="0.25">
      <c r="A222" s="4" t="str">
        <f t="shared" ca="1" si="12"/>
        <v/>
      </c>
      <c r="B222" s="5"/>
      <c r="C222" s="5"/>
      <c r="D222" s="5"/>
      <c r="E222" s="5"/>
      <c r="F222" s="6"/>
      <c r="G222" s="6"/>
      <c r="H222" s="6" t="str">
        <f t="shared" si="10"/>
        <v/>
      </c>
      <c r="I222" s="5" t="str">
        <f t="shared" si="11"/>
        <v/>
      </c>
      <c r="J222" s="5"/>
    </row>
    <row r="223" spans="1:10" x14ac:dyDescent="0.25">
      <c r="A223" s="4" t="str">
        <f t="shared" ca="1" si="12"/>
        <v/>
      </c>
      <c r="B223" s="5"/>
      <c r="C223" s="5"/>
      <c r="D223" s="5"/>
      <c r="E223" s="5"/>
      <c r="F223" s="6"/>
      <c r="G223" s="6"/>
      <c r="H223" s="6" t="str">
        <f t="shared" si="10"/>
        <v/>
      </c>
      <c r="I223" s="5" t="str">
        <f t="shared" si="11"/>
        <v/>
      </c>
      <c r="J223" s="5"/>
    </row>
    <row r="224" spans="1:10" x14ac:dyDescent="0.25">
      <c r="A224" s="4" t="str">
        <f t="shared" ca="1" si="12"/>
        <v/>
      </c>
      <c r="B224" s="5"/>
      <c r="C224" s="5"/>
      <c r="D224" s="5"/>
      <c r="E224" s="5"/>
      <c r="F224" s="6"/>
      <c r="G224" s="6"/>
      <c r="H224" s="6" t="str">
        <f t="shared" si="10"/>
        <v/>
      </c>
      <c r="I224" s="5" t="str">
        <f t="shared" si="11"/>
        <v/>
      </c>
      <c r="J224" s="5"/>
    </row>
    <row r="225" spans="1:10" x14ac:dyDescent="0.25">
      <c r="A225" s="4" t="str">
        <f t="shared" ca="1" si="12"/>
        <v/>
      </c>
      <c r="B225" s="5"/>
      <c r="C225" s="5"/>
      <c r="D225" s="5"/>
      <c r="E225" s="5"/>
      <c r="F225" s="6"/>
      <c r="G225" s="6"/>
      <c r="H225" s="6" t="str">
        <f t="shared" si="10"/>
        <v/>
      </c>
      <c r="I225" s="5" t="str">
        <f t="shared" si="11"/>
        <v/>
      </c>
      <c r="J225" s="5"/>
    </row>
    <row r="226" spans="1:10" x14ac:dyDescent="0.25">
      <c r="A226" s="4" t="str">
        <f t="shared" ca="1" si="12"/>
        <v/>
      </c>
      <c r="B226" s="5"/>
      <c r="C226" s="5"/>
      <c r="D226" s="5"/>
      <c r="E226" s="5"/>
      <c r="F226" s="6"/>
      <c r="G226" s="6"/>
      <c r="H226" s="6" t="str">
        <f t="shared" si="10"/>
        <v/>
      </c>
      <c r="I226" s="5" t="str">
        <f t="shared" si="11"/>
        <v/>
      </c>
      <c r="J226" s="5"/>
    </row>
    <row r="227" spans="1:10" x14ac:dyDescent="0.25">
      <c r="A227" s="4" t="str">
        <f t="shared" ca="1" si="12"/>
        <v/>
      </c>
      <c r="B227" s="5"/>
      <c r="C227" s="5"/>
      <c r="D227" s="5"/>
      <c r="E227" s="5"/>
      <c r="F227" s="6"/>
      <c r="G227" s="6"/>
      <c r="H227" s="6" t="str">
        <f t="shared" si="10"/>
        <v/>
      </c>
      <c r="I227" s="5" t="str">
        <f t="shared" si="11"/>
        <v/>
      </c>
      <c r="J227" s="5"/>
    </row>
    <row r="228" spans="1:10" x14ac:dyDescent="0.25">
      <c r="A228" s="4" t="str">
        <f t="shared" ca="1" si="12"/>
        <v/>
      </c>
      <c r="B228" s="5"/>
      <c r="C228" s="5"/>
      <c r="D228" s="5"/>
      <c r="E228" s="5"/>
      <c r="F228" s="6"/>
      <c r="G228" s="6"/>
      <c r="H228" s="6" t="str">
        <f t="shared" si="10"/>
        <v/>
      </c>
      <c r="I228" s="5" t="str">
        <f t="shared" si="11"/>
        <v/>
      </c>
      <c r="J228" s="5"/>
    </row>
    <row r="229" spans="1:10" x14ac:dyDescent="0.25">
      <c r="A229" s="4" t="str">
        <f t="shared" ca="1" si="12"/>
        <v/>
      </c>
      <c r="B229" s="5"/>
      <c r="C229" s="5"/>
      <c r="D229" s="5"/>
      <c r="E229" s="5"/>
      <c r="F229" s="6"/>
      <c r="G229" s="6"/>
      <c r="H229" s="6" t="str">
        <f t="shared" si="10"/>
        <v/>
      </c>
      <c r="I229" s="5" t="str">
        <f t="shared" si="11"/>
        <v/>
      </c>
      <c r="J229" s="5"/>
    </row>
    <row r="230" spans="1:10" x14ac:dyDescent="0.25">
      <c r="A230" s="4" t="str">
        <f t="shared" ca="1" si="12"/>
        <v/>
      </c>
      <c r="B230" s="5"/>
      <c r="C230" s="5"/>
      <c r="D230" s="5"/>
      <c r="E230" s="5"/>
      <c r="F230" s="6"/>
      <c r="G230" s="6"/>
      <c r="H230" s="6" t="str">
        <f t="shared" si="10"/>
        <v/>
      </c>
      <c r="I230" s="5" t="str">
        <f t="shared" si="11"/>
        <v/>
      </c>
      <c r="J230" s="5"/>
    </row>
    <row r="231" spans="1:10" x14ac:dyDescent="0.25">
      <c r="A231" s="4" t="str">
        <f t="shared" ca="1" si="12"/>
        <v/>
      </c>
      <c r="B231" s="5"/>
      <c r="C231" s="5"/>
      <c r="D231" s="5"/>
      <c r="E231" s="5"/>
      <c r="F231" s="6"/>
      <c r="G231" s="6"/>
      <c r="H231" s="6" t="str">
        <f t="shared" si="10"/>
        <v/>
      </c>
      <c r="I231" s="5" t="str">
        <f t="shared" si="11"/>
        <v/>
      </c>
      <c r="J231" s="5"/>
    </row>
    <row r="232" spans="1:10" x14ac:dyDescent="0.25">
      <c r="A232" s="4" t="str">
        <f t="shared" ca="1" si="12"/>
        <v/>
      </c>
      <c r="B232" s="5"/>
      <c r="C232" s="5"/>
      <c r="D232" s="5"/>
      <c r="E232" s="5"/>
      <c r="F232" s="6"/>
      <c r="G232" s="6"/>
      <c r="H232" s="6" t="str">
        <f t="shared" si="10"/>
        <v/>
      </c>
      <c r="I232" s="5" t="str">
        <f t="shared" si="11"/>
        <v/>
      </c>
      <c r="J232" s="5"/>
    </row>
    <row r="233" spans="1:10" x14ac:dyDescent="0.25">
      <c r="A233" s="4" t="str">
        <f t="shared" ca="1" si="12"/>
        <v/>
      </c>
      <c r="B233" s="5"/>
      <c r="C233" s="5"/>
      <c r="D233" s="5"/>
      <c r="E233" s="5"/>
      <c r="F233" s="6"/>
      <c r="G233" s="6"/>
      <c r="H233" s="6" t="str">
        <f t="shared" si="10"/>
        <v/>
      </c>
      <c r="I233" s="5" t="str">
        <f t="shared" si="11"/>
        <v/>
      </c>
      <c r="J233" s="5"/>
    </row>
    <row r="234" spans="1:10" x14ac:dyDescent="0.25">
      <c r="A234" s="4" t="str">
        <f t="shared" ca="1" si="12"/>
        <v/>
      </c>
      <c r="B234" s="5"/>
      <c r="C234" s="5"/>
      <c r="D234" s="5"/>
      <c r="E234" s="5"/>
      <c r="F234" s="6"/>
      <c r="G234" s="6"/>
      <c r="H234" s="6" t="str">
        <f t="shared" si="10"/>
        <v/>
      </c>
      <c r="I234" s="5" t="str">
        <f t="shared" si="11"/>
        <v/>
      </c>
      <c r="J234" s="5"/>
    </row>
    <row r="235" spans="1:10" x14ac:dyDescent="0.25">
      <c r="A235" s="4" t="str">
        <f t="shared" ca="1" si="12"/>
        <v/>
      </c>
      <c r="B235" s="5"/>
      <c r="C235" s="5"/>
      <c r="D235" s="5"/>
      <c r="E235" s="5"/>
      <c r="F235" s="6"/>
      <c r="G235" s="6"/>
      <c r="H235" s="6" t="str">
        <f t="shared" si="10"/>
        <v/>
      </c>
      <c r="I235" s="5" t="str">
        <f t="shared" si="11"/>
        <v/>
      </c>
      <c r="J235" s="5"/>
    </row>
    <row r="236" spans="1:10" x14ac:dyDescent="0.25">
      <c r="A236" s="4" t="str">
        <f t="shared" ca="1" si="12"/>
        <v/>
      </c>
      <c r="B236" s="5"/>
      <c r="C236" s="5"/>
      <c r="D236" s="5"/>
      <c r="E236" s="5"/>
      <c r="F236" s="6"/>
      <c r="G236" s="6"/>
      <c r="H236" s="6" t="str">
        <f t="shared" si="10"/>
        <v/>
      </c>
      <c r="I236" s="5" t="str">
        <f t="shared" si="11"/>
        <v/>
      </c>
      <c r="J236" s="5"/>
    </row>
    <row r="237" spans="1:10" x14ac:dyDescent="0.25">
      <c r="A237" s="4" t="str">
        <f t="shared" ca="1" si="12"/>
        <v/>
      </c>
      <c r="B237" s="5"/>
      <c r="C237" s="5"/>
      <c r="D237" s="5"/>
      <c r="E237" s="5"/>
      <c r="F237" s="6"/>
      <c r="G237" s="6"/>
      <c r="H237" s="6" t="str">
        <f t="shared" si="10"/>
        <v/>
      </c>
      <c r="I237" s="5" t="str">
        <f t="shared" si="11"/>
        <v/>
      </c>
      <c r="J237" s="5"/>
    </row>
    <row r="238" spans="1:10" x14ac:dyDescent="0.25">
      <c r="A238" s="4" t="str">
        <f t="shared" ca="1" si="12"/>
        <v/>
      </c>
      <c r="B238" s="5"/>
      <c r="C238" s="5"/>
      <c r="D238" s="5"/>
      <c r="E238" s="5"/>
      <c r="F238" s="6"/>
      <c r="G238" s="6"/>
      <c r="H238" s="6" t="str">
        <f t="shared" si="10"/>
        <v/>
      </c>
      <c r="I238" s="5" t="str">
        <f t="shared" si="11"/>
        <v/>
      </c>
      <c r="J238" s="5"/>
    </row>
    <row r="239" spans="1:10" x14ac:dyDescent="0.25">
      <c r="A239" s="4" t="str">
        <f t="shared" ca="1" si="12"/>
        <v/>
      </c>
      <c r="B239" s="5"/>
      <c r="C239" s="5"/>
      <c r="D239" s="5"/>
      <c r="E239" s="5"/>
      <c r="F239" s="6"/>
      <c r="G239" s="6"/>
      <c r="H239" s="6" t="str">
        <f t="shared" si="10"/>
        <v/>
      </c>
      <c r="I239" s="5" t="str">
        <f t="shared" si="11"/>
        <v/>
      </c>
      <c r="J239" s="5"/>
    </row>
    <row r="240" spans="1:10" x14ac:dyDescent="0.25">
      <c r="A240" s="4" t="str">
        <f t="shared" ca="1" si="12"/>
        <v/>
      </c>
      <c r="B240" s="5"/>
      <c r="C240" s="5"/>
      <c r="D240" s="5"/>
      <c r="E240" s="5"/>
      <c r="F240" s="6"/>
      <c r="G240" s="6"/>
      <c r="H240" s="6" t="str">
        <f t="shared" si="10"/>
        <v/>
      </c>
      <c r="I240" s="5" t="str">
        <f t="shared" si="11"/>
        <v/>
      </c>
      <c r="J240" s="5"/>
    </row>
    <row r="241" spans="1:10" x14ac:dyDescent="0.25">
      <c r="A241" s="4" t="str">
        <f t="shared" ca="1" si="12"/>
        <v/>
      </c>
      <c r="B241" s="5"/>
      <c r="C241" s="5"/>
      <c r="D241" s="5"/>
      <c r="E241" s="5"/>
      <c r="F241" s="6"/>
      <c r="G241" s="6"/>
      <c r="H241" s="6" t="str">
        <f t="shared" si="10"/>
        <v/>
      </c>
      <c r="I241" s="5" t="str">
        <f t="shared" si="11"/>
        <v/>
      </c>
      <c r="J241" s="5"/>
    </row>
    <row r="242" spans="1:10" x14ac:dyDescent="0.25">
      <c r="A242" s="4" t="str">
        <f t="shared" ca="1" si="12"/>
        <v/>
      </c>
      <c r="B242" s="5"/>
      <c r="C242" s="5"/>
      <c r="D242" s="5"/>
      <c r="E242" s="5"/>
      <c r="F242" s="6"/>
      <c r="G242" s="6"/>
      <c r="H242" s="6" t="str">
        <f t="shared" si="10"/>
        <v/>
      </c>
      <c r="I242" s="5" t="str">
        <f t="shared" si="11"/>
        <v/>
      </c>
      <c r="J242" s="5"/>
    </row>
    <row r="243" spans="1:10" x14ac:dyDescent="0.25">
      <c r="A243" s="4" t="str">
        <f t="shared" ca="1" si="12"/>
        <v/>
      </c>
      <c r="B243" s="5"/>
      <c r="C243" s="5"/>
      <c r="D243" s="5"/>
      <c r="E243" s="5"/>
      <c r="F243" s="6"/>
      <c r="G243" s="6"/>
      <c r="H243" s="6" t="str">
        <f t="shared" si="10"/>
        <v/>
      </c>
      <c r="I243" s="5" t="str">
        <f t="shared" si="11"/>
        <v/>
      </c>
      <c r="J243" s="5"/>
    </row>
    <row r="244" spans="1:10" x14ac:dyDescent="0.25">
      <c r="A244" s="4" t="str">
        <f t="shared" ca="1" si="12"/>
        <v/>
      </c>
      <c r="B244" s="5"/>
      <c r="C244" s="5"/>
      <c r="D244" s="5"/>
      <c r="E244" s="5"/>
      <c r="F244" s="6"/>
      <c r="G244" s="6"/>
      <c r="H244" s="6" t="str">
        <f t="shared" si="10"/>
        <v/>
      </c>
      <c r="I244" s="5" t="str">
        <f t="shared" si="11"/>
        <v/>
      </c>
      <c r="J244" s="5"/>
    </row>
    <row r="245" spans="1:10" x14ac:dyDescent="0.25">
      <c r="A245" s="4" t="str">
        <f t="shared" ca="1" si="12"/>
        <v/>
      </c>
      <c r="B245" s="5"/>
      <c r="C245" s="5"/>
      <c r="D245" s="5"/>
      <c r="E245" s="5"/>
      <c r="F245" s="6"/>
      <c r="G245" s="6"/>
      <c r="H245" s="6" t="str">
        <f t="shared" si="10"/>
        <v/>
      </c>
      <c r="I245" s="5" t="str">
        <f t="shared" si="11"/>
        <v/>
      </c>
      <c r="J245" s="5"/>
    </row>
    <row r="246" spans="1:10" x14ac:dyDescent="0.25">
      <c r="A246" s="4" t="str">
        <f t="shared" ca="1" si="12"/>
        <v/>
      </c>
      <c r="B246" s="5"/>
      <c r="C246" s="5"/>
      <c r="D246" s="5"/>
      <c r="E246" s="5"/>
      <c r="F246" s="6"/>
      <c r="G246" s="6"/>
      <c r="H246" s="6" t="str">
        <f t="shared" si="10"/>
        <v/>
      </c>
      <c r="I246" s="5" t="str">
        <f t="shared" si="11"/>
        <v/>
      </c>
      <c r="J246" s="5"/>
    </row>
    <row r="247" spans="1:10" x14ac:dyDescent="0.25">
      <c r="A247" s="4" t="str">
        <f t="shared" ca="1" si="12"/>
        <v/>
      </c>
      <c r="B247" s="5"/>
      <c r="C247" s="5"/>
      <c r="D247" s="5"/>
      <c r="E247" s="5"/>
      <c r="F247" s="6"/>
      <c r="G247" s="6"/>
      <c r="H247" s="6" t="str">
        <f t="shared" si="10"/>
        <v/>
      </c>
      <c r="I247" s="5" t="str">
        <f t="shared" si="11"/>
        <v/>
      </c>
      <c r="J247" s="5"/>
    </row>
    <row r="248" spans="1:10" x14ac:dyDescent="0.25">
      <c r="A248" s="4" t="str">
        <f t="shared" ca="1" si="12"/>
        <v/>
      </c>
      <c r="B248" s="5"/>
      <c r="C248" s="5"/>
      <c r="D248" s="5"/>
      <c r="E248" s="5"/>
      <c r="F248" s="6"/>
      <c r="G248" s="6"/>
      <c r="H248" s="6" t="str">
        <f t="shared" si="10"/>
        <v/>
      </c>
      <c r="I248" s="5" t="str">
        <f t="shared" si="11"/>
        <v/>
      </c>
      <c r="J248" s="5"/>
    </row>
    <row r="249" spans="1:10" x14ac:dyDescent="0.25">
      <c r="A249" s="4" t="str">
        <f t="shared" ca="1" si="12"/>
        <v/>
      </c>
      <c r="B249" s="5"/>
      <c r="C249" s="5"/>
      <c r="D249" s="5"/>
      <c r="E249" s="5"/>
      <c r="F249" s="6"/>
      <c r="G249" s="6"/>
      <c r="H249" s="6" t="str">
        <f t="shared" si="10"/>
        <v/>
      </c>
      <c r="I249" s="5" t="str">
        <f t="shared" si="11"/>
        <v/>
      </c>
      <c r="J249" s="5"/>
    </row>
    <row r="250" spans="1:10" x14ac:dyDescent="0.25">
      <c r="A250" s="4" t="str">
        <f t="shared" ca="1" si="12"/>
        <v/>
      </c>
      <c r="B250" s="5"/>
      <c r="C250" s="5"/>
      <c r="D250" s="5"/>
      <c r="E250" s="5"/>
      <c r="F250" s="6"/>
      <c r="G250" s="6"/>
      <c r="H250" s="6" t="str">
        <f t="shared" si="10"/>
        <v/>
      </c>
      <c r="I250" s="5" t="str">
        <f t="shared" si="11"/>
        <v/>
      </c>
      <c r="J250" s="5"/>
    </row>
    <row r="251" spans="1:10" x14ac:dyDescent="0.25">
      <c r="A251" s="4" t="str">
        <f t="shared" ca="1" si="12"/>
        <v/>
      </c>
      <c r="B251" s="5"/>
      <c r="C251" s="5"/>
      <c r="D251" s="5"/>
      <c r="E251" s="5"/>
      <c r="F251" s="6"/>
      <c r="G251" s="6"/>
      <c r="H251" s="6" t="str">
        <f t="shared" si="10"/>
        <v/>
      </c>
      <c r="I251" s="5" t="str">
        <f t="shared" si="11"/>
        <v/>
      </c>
      <c r="J251" s="5"/>
    </row>
    <row r="252" spans="1:10" x14ac:dyDescent="0.25">
      <c r="A252" s="4" t="str">
        <f t="shared" ca="1" si="12"/>
        <v/>
      </c>
      <c r="B252" s="5"/>
      <c r="C252" s="5"/>
      <c r="D252" s="5"/>
      <c r="E252" s="5"/>
      <c r="F252" s="6"/>
      <c r="G252" s="6"/>
      <c r="H252" s="6" t="str">
        <f t="shared" si="10"/>
        <v/>
      </c>
      <c r="I252" s="5" t="str">
        <f t="shared" si="11"/>
        <v/>
      </c>
      <c r="J252" s="5"/>
    </row>
    <row r="253" spans="1:10" x14ac:dyDescent="0.25">
      <c r="A253" s="4" t="str">
        <f t="shared" ca="1" si="12"/>
        <v/>
      </c>
      <c r="B253" s="5"/>
      <c r="C253" s="5"/>
      <c r="D253" s="5"/>
      <c r="E253" s="5"/>
      <c r="F253" s="6"/>
      <c r="G253" s="6"/>
      <c r="H253" s="6" t="str">
        <f t="shared" si="10"/>
        <v/>
      </c>
      <c r="I253" s="5" t="str">
        <f t="shared" si="11"/>
        <v/>
      </c>
      <c r="J253" s="5"/>
    </row>
    <row r="254" spans="1:10" x14ac:dyDescent="0.25">
      <c r="A254" s="4" t="str">
        <f t="shared" ca="1" si="12"/>
        <v/>
      </c>
      <c r="B254" s="5"/>
      <c r="C254" s="5"/>
      <c r="D254" s="5"/>
      <c r="E254" s="5"/>
      <c r="F254" s="6"/>
      <c r="G254" s="6"/>
      <c r="H254" s="6" t="str">
        <f t="shared" si="10"/>
        <v/>
      </c>
      <c r="I254" s="5" t="str">
        <f t="shared" si="11"/>
        <v/>
      </c>
      <c r="J254" s="5"/>
    </row>
    <row r="255" spans="1:10" x14ac:dyDescent="0.25">
      <c r="A255" s="4" t="str">
        <f t="shared" ca="1" si="12"/>
        <v/>
      </c>
      <c r="B255" s="5"/>
      <c r="C255" s="5"/>
      <c r="D255" s="5"/>
      <c r="E255" s="5"/>
      <c r="F255" s="6"/>
      <c r="G255" s="6"/>
      <c r="H255" s="6" t="str">
        <f t="shared" si="10"/>
        <v/>
      </c>
      <c r="I255" s="5" t="str">
        <f t="shared" si="11"/>
        <v/>
      </c>
      <c r="J255" s="5"/>
    </row>
    <row r="256" spans="1:10" x14ac:dyDescent="0.25">
      <c r="A256" s="4" t="str">
        <f t="shared" ca="1" si="12"/>
        <v/>
      </c>
      <c r="B256" s="5"/>
      <c r="C256" s="5"/>
      <c r="D256" s="5"/>
      <c r="E256" s="5"/>
      <c r="F256" s="6"/>
      <c r="G256" s="6"/>
      <c r="H256" s="6" t="str">
        <f t="shared" si="10"/>
        <v/>
      </c>
      <c r="I256" s="5" t="str">
        <f t="shared" si="11"/>
        <v/>
      </c>
      <c r="J256" s="5"/>
    </row>
    <row r="257" spans="1:10" x14ac:dyDescent="0.25">
      <c r="A257" s="4" t="str">
        <f t="shared" ca="1" si="12"/>
        <v/>
      </c>
      <c r="B257" s="5"/>
      <c r="C257" s="5"/>
      <c r="D257" s="5"/>
      <c r="E257" s="5"/>
      <c r="F257" s="6"/>
      <c r="G257" s="6"/>
      <c r="H257" s="6" t="str">
        <f t="shared" si="10"/>
        <v/>
      </c>
      <c r="I257" s="5" t="str">
        <f t="shared" si="11"/>
        <v/>
      </c>
      <c r="J257" s="5"/>
    </row>
    <row r="258" spans="1:10" x14ac:dyDescent="0.25">
      <c r="A258" s="4" t="str">
        <f t="shared" ca="1" si="12"/>
        <v/>
      </c>
      <c r="B258" s="5"/>
      <c r="C258" s="5"/>
      <c r="D258" s="5"/>
      <c r="E258" s="5"/>
      <c r="F258" s="6"/>
      <c r="G258" s="6"/>
      <c r="H258" s="6" t="str">
        <f t="shared" si="10"/>
        <v/>
      </c>
      <c r="I258" s="5" t="str">
        <f t="shared" si="11"/>
        <v/>
      </c>
      <c r="J258" s="5"/>
    </row>
    <row r="259" spans="1:10" x14ac:dyDescent="0.25">
      <c r="A259" s="4" t="str">
        <f t="shared" ca="1" si="12"/>
        <v/>
      </c>
      <c r="B259" s="5"/>
      <c r="C259" s="5"/>
      <c r="D259" s="5"/>
      <c r="E259" s="5"/>
      <c r="F259" s="6"/>
      <c r="G259" s="6"/>
      <c r="H259" s="6" t="str">
        <f t="shared" si="10"/>
        <v/>
      </c>
      <c r="I259" s="5" t="str">
        <f t="shared" si="11"/>
        <v/>
      </c>
      <c r="J259" s="5"/>
    </row>
    <row r="260" spans="1:10" x14ac:dyDescent="0.25">
      <c r="A260" s="4" t="str">
        <f t="shared" ca="1" si="12"/>
        <v/>
      </c>
      <c r="B260" s="5"/>
      <c r="C260" s="5"/>
      <c r="D260" s="5"/>
      <c r="E260" s="5"/>
      <c r="F260" s="6"/>
      <c r="G260" s="6"/>
      <c r="H260" s="6" t="str">
        <f t="shared" si="10"/>
        <v/>
      </c>
      <c r="I260" s="5" t="str">
        <f t="shared" si="11"/>
        <v/>
      </c>
      <c r="J260" s="5"/>
    </row>
    <row r="261" spans="1:10" x14ac:dyDescent="0.25">
      <c r="A261" s="4" t="str">
        <f t="shared" ca="1" si="12"/>
        <v/>
      </c>
      <c r="B261" s="5"/>
      <c r="C261" s="5"/>
      <c r="D261" s="5"/>
      <c r="E261" s="5"/>
      <c r="F261" s="6"/>
      <c r="G261" s="6"/>
      <c r="H261" s="6" t="str">
        <f t="shared" ref="H261:H324" si="13">IF(F261="","",MAX(F261-G261,0))</f>
        <v/>
      </c>
      <c r="I261" s="5" t="str">
        <f t="shared" ref="I261:I324" si="14">IF(F261="","",IF(H261=0,"PAGADO","CRÉDITO"))</f>
        <v/>
      </c>
      <c r="J261" s="5"/>
    </row>
    <row r="262" spans="1:10" x14ac:dyDescent="0.25">
      <c r="A262" s="4" t="str">
        <f t="shared" ca="1" si="12"/>
        <v/>
      </c>
      <c r="B262" s="5"/>
      <c r="C262" s="5"/>
      <c r="D262" s="5"/>
      <c r="E262" s="5"/>
      <c r="F262" s="6"/>
      <c r="G262" s="6"/>
      <c r="H262" s="6" t="str">
        <f t="shared" si="13"/>
        <v/>
      </c>
      <c r="I262" s="5" t="str">
        <f t="shared" si="14"/>
        <v/>
      </c>
      <c r="J262" s="5"/>
    </row>
    <row r="263" spans="1:10" x14ac:dyDescent="0.25">
      <c r="A263" s="4" t="str">
        <f t="shared" ca="1" si="12"/>
        <v/>
      </c>
      <c r="B263" s="5"/>
      <c r="C263" s="5"/>
      <c r="D263" s="5"/>
      <c r="E263" s="5"/>
      <c r="F263" s="6"/>
      <c r="G263" s="6"/>
      <c r="H263" s="6" t="str">
        <f t="shared" si="13"/>
        <v/>
      </c>
      <c r="I263" s="5" t="str">
        <f t="shared" si="14"/>
        <v/>
      </c>
      <c r="J263" s="5"/>
    </row>
    <row r="264" spans="1:10" x14ac:dyDescent="0.25">
      <c r="A264" s="4" t="str">
        <f t="shared" ca="1" si="12"/>
        <v/>
      </c>
      <c r="B264" s="5"/>
      <c r="C264" s="5"/>
      <c r="D264" s="5"/>
      <c r="E264" s="5"/>
      <c r="F264" s="6"/>
      <c r="G264" s="6"/>
      <c r="H264" s="6" t="str">
        <f t="shared" si="13"/>
        <v/>
      </c>
      <c r="I264" s="5" t="str">
        <f t="shared" si="14"/>
        <v/>
      </c>
      <c r="J264" s="5"/>
    </row>
    <row r="265" spans="1:10" x14ac:dyDescent="0.25">
      <c r="A265" s="4" t="str">
        <f t="shared" ca="1" si="12"/>
        <v/>
      </c>
      <c r="B265" s="5"/>
      <c r="C265" s="5"/>
      <c r="D265" s="5"/>
      <c r="E265" s="5"/>
      <c r="F265" s="6"/>
      <c r="G265" s="6"/>
      <c r="H265" s="6" t="str">
        <f t="shared" si="13"/>
        <v/>
      </c>
      <c r="I265" s="5" t="str">
        <f t="shared" si="14"/>
        <v/>
      </c>
      <c r="J265" s="5"/>
    </row>
    <row r="266" spans="1:10" x14ac:dyDescent="0.25">
      <c r="A266" s="4" t="str">
        <f t="shared" ca="1" si="12"/>
        <v/>
      </c>
      <c r="B266" s="5"/>
      <c r="C266" s="5"/>
      <c r="D266" s="5"/>
      <c r="E266" s="5"/>
      <c r="F266" s="6"/>
      <c r="G266" s="6"/>
      <c r="H266" s="6" t="str">
        <f t="shared" si="13"/>
        <v/>
      </c>
      <c r="I266" s="5" t="str">
        <f t="shared" si="14"/>
        <v/>
      </c>
      <c r="J266" s="5"/>
    </row>
    <row r="267" spans="1:10" x14ac:dyDescent="0.25">
      <c r="A267" s="4" t="str">
        <f t="shared" ca="1" si="12"/>
        <v/>
      </c>
      <c r="B267" s="5"/>
      <c r="C267" s="5"/>
      <c r="D267" s="5"/>
      <c r="E267" s="5"/>
      <c r="F267" s="6"/>
      <c r="G267" s="6"/>
      <c r="H267" s="6" t="str">
        <f t="shared" si="13"/>
        <v/>
      </c>
      <c r="I267" s="5" t="str">
        <f t="shared" si="14"/>
        <v/>
      </c>
      <c r="J267" s="5"/>
    </row>
    <row r="268" spans="1:10" x14ac:dyDescent="0.25">
      <c r="A268" s="4" t="str">
        <f t="shared" ca="1" si="12"/>
        <v/>
      </c>
      <c r="B268" s="5"/>
      <c r="C268" s="5"/>
      <c r="D268" s="5"/>
      <c r="E268" s="5"/>
      <c r="F268" s="6"/>
      <c r="G268" s="6"/>
      <c r="H268" s="6" t="str">
        <f t="shared" si="13"/>
        <v/>
      </c>
      <c r="I268" s="5" t="str">
        <f t="shared" si="14"/>
        <v/>
      </c>
      <c r="J268" s="5"/>
    </row>
    <row r="269" spans="1:10" x14ac:dyDescent="0.25">
      <c r="A269" s="4" t="str">
        <f t="shared" ca="1" si="12"/>
        <v/>
      </c>
      <c r="B269" s="5"/>
      <c r="C269" s="5"/>
      <c r="D269" s="5"/>
      <c r="E269" s="5"/>
      <c r="F269" s="6"/>
      <c r="G269" s="6"/>
      <c r="H269" s="6" t="str">
        <f t="shared" si="13"/>
        <v/>
      </c>
      <c r="I269" s="5" t="str">
        <f t="shared" si="14"/>
        <v/>
      </c>
      <c r="J269" s="5"/>
    </row>
    <row r="270" spans="1:10" x14ac:dyDescent="0.25">
      <c r="A270" s="4" t="str">
        <f t="shared" ca="1" si="12"/>
        <v/>
      </c>
      <c r="B270" s="5"/>
      <c r="C270" s="5"/>
      <c r="D270" s="5"/>
      <c r="E270" s="5"/>
      <c r="F270" s="6"/>
      <c r="G270" s="6"/>
      <c r="H270" s="6" t="str">
        <f t="shared" si="13"/>
        <v/>
      </c>
      <c r="I270" s="5" t="str">
        <f t="shared" si="14"/>
        <v/>
      </c>
      <c r="J270" s="5"/>
    </row>
    <row r="271" spans="1:10" x14ac:dyDescent="0.25">
      <c r="A271" s="4" t="str">
        <f t="shared" ca="1" si="12"/>
        <v/>
      </c>
      <c r="B271" s="5"/>
      <c r="C271" s="5"/>
      <c r="D271" s="5"/>
      <c r="E271" s="5"/>
      <c r="F271" s="6"/>
      <c r="G271" s="6"/>
      <c r="H271" s="6" t="str">
        <f t="shared" si="13"/>
        <v/>
      </c>
      <c r="I271" s="5" t="str">
        <f t="shared" si="14"/>
        <v/>
      </c>
      <c r="J271" s="5"/>
    </row>
    <row r="272" spans="1:10" x14ac:dyDescent="0.25">
      <c r="A272" s="4" t="str">
        <f t="shared" ca="1" si="12"/>
        <v/>
      </c>
      <c r="B272" s="5"/>
      <c r="C272" s="5"/>
      <c r="D272" s="5"/>
      <c r="E272" s="5"/>
      <c r="F272" s="6"/>
      <c r="G272" s="6"/>
      <c r="H272" s="6" t="str">
        <f t="shared" si="13"/>
        <v/>
      </c>
      <c r="I272" s="5" t="str">
        <f t="shared" si="14"/>
        <v/>
      </c>
      <c r="J272" s="5"/>
    </row>
    <row r="273" spans="1:10" x14ac:dyDescent="0.25">
      <c r="A273" s="4" t="str">
        <f t="shared" ref="A273:A336" ca="1" si="15">IF(B273="","",TODAY())</f>
        <v/>
      </c>
      <c r="B273" s="5"/>
      <c r="C273" s="5"/>
      <c r="D273" s="5"/>
      <c r="E273" s="5"/>
      <c r="F273" s="6"/>
      <c r="G273" s="6"/>
      <c r="H273" s="6" t="str">
        <f t="shared" si="13"/>
        <v/>
      </c>
      <c r="I273" s="5" t="str">
        <f t="shared" si="14"/>
        <v/>
      </c>
      <c r="J273" s="5"/>
    </row>
    <row r="274" spans="1:10" x14ac:dyDescent="0.25">
      <c r="A274" s="4" t="str">
        <f t="shared" ca="1" si="15"/>
        <v/>
      </c>
      <c r="B274" s="5"/>
      <c r="C274" s="5"/>
      <c r="D274" s="5"/>
      <c r="E274" s="5"/>
      <c r="F274" s="6"/>
      <c r="G274" s="6"/>
      <c r="H274" s="6" t="str">
        <f t="shared" si="13"/>
        <v/>
      </c>
      <c r="I274" s="5" t="str">
        <f t="shared" si="14"/>
        <v/>
      </c>
      <c r="J274" s="5"/>
    </row>
    <row r="275" spans="1:10" x14ac:dyDescent="0.25">
      <c r="A275" s="4" t="str">
        <f t="shared" ca="1" si="15"/>
        <v/>
      </c>
      <c r="B275" s="5"/>
      <c r="C275" s="5"/>
      <c r="D275" s="5"/>
      <c r="E275" s="5"/>
      <c r="F275" s="6"/>
      <c r="G275" s="6"/>
      <c r="H275" s="6" t="str">
        <f t="shared" si="13"/>
        <v/>
      </c>
      <c r="I275" s="5" t="str">
        <f t="shared" si="14"/>
        <v/>
      </c>
      <c r="J275" s="5"/>
    </row>
    <row r="276" spans="1:10" x14ac:dyDescent="0.25">
      <c r="A276" s="4" t="str">
        <f t="shared" ca="1" si="15"/>
        <v/>
      </c>
      <c r="B276" s="5"/>
      <c r="C276" s="5"/>
      <c r="D276" s="5"/>
      <c r="E276" s="5"/>
      <c r="F276" s="6"/>
      <c r="G276" s="6"/>
      <c r="H276" s="6" t="str">
        <f t="shared" si="13"/>
        <v/>
      </c>
      <c r="I276" s="5" t="str">
        <f t="shared" si="14"/>
        <v/>
      </c>
      <c r="J276" s="5"/>
    </row>
    <row r="277" spans="1:10" x14ac:dyDescent="0.25">
      <c r="A277" s="4" t="str">
        <f t="shared" ca="1" si="15"/>
        <v/>
      </c>
      <c r="B277" s="5"/>
      <c r="C277" s="5"/>
      <c r="D277" s="5"/>
      <c r="E277" s="5"/>
      <c r="F277" s="6"/>
      <c r="G277" s="6"/>
      <c r="H277" s="6" t="str">
        <f t="shared" si="13"/>
        <v/>
      </c>
      <c r="I277" s="5" t="str">
        <f t="shared" si="14"/>
        <v/>
      </c>
      <c r="J277" s="5"/>
    </row>
    <row r="278" spans="1:10" x14ac:dyDescent="0.25">
      <c r="A278" s="4" t="str">
        <f t="shared" ca="1" si="15"/>
        <v/>
      </c>
      <c r="B278" s="5"/>
      <c r="C278" s="5"/>
      <c r="D278" s="5"/>
      <c r="E278" s="5"/>
      <c r="F278" s="6"/>
      <c r="G278" s="6"/>
      <c r="H278" s="6" t="str">
        <f t="shared" si="13"/>
        <v/>
      </c>
      <c r="I278" s="5" t="str">
        <f t="shared" si="14"/>
        <v/>
      </c>
      <c r="J278" s="5"/>
    </row>
    <row r="279" spans="1:10" x14ac:dyDescent="0.25">
      <c r="A279" s="4" t="str">
        <f t="shared" ca="1" si="15"/>
        <v/>
      </c>
      <c r="B279" s="5"/>
      <c r="C279" s="5"/>
      <c r="D279" s="5"/>
      <c r="E279" s="5"/>
      <c r="F279" s="6"/>
      <c r="G279" s="6"/>
      <c r="H279" s="6" t="str">
        <f t="shared" si="13"/>
        <v/>
      </c>
      <c r="I279" s="5" t="str">
        <f t="shared" si="14"/>
        <v/>
      </c>
      <c r="J279" s="5"/>
    </row>
    <row r="280" spans="1:10" x14ac:dyDescent="0.25">
      <c r="A280" s="4" t="str">
        <f t="shared" ca="1" si="15"/>
        <v/>
      </c>
      <c r="B280" s="5"/>
      <c r="C280" s="5"/>
      <c r="D280" s="5"/>
      <c r="E280" s="5"/>
      <c r="F280" s="6"/>
      <c r="G280" s="6"/>
      <c r="H280" s="6" t="str">
        <f t="shared" si="13"/>
        <v/>
      </c>
      <c r="I280" s="5" t="str">
        <f t="shared" si="14"/>
        <v/>
      </c>
      <c r="J280" s="5"/>
    </row>
    <row r="281" spans="1:10" x14ac:dyDescent="0.25">
      <c r="A281" s="4" t="str">
        <f t="shared" ca="1" si="15"/>
        <v/>
      </c>
      <c r="B281" s="5"/>
      <c r="C281" s="5"/>
      <c r="D281" s="5"/>
      <c r="E281" s="5"/>
      <c r="F281" s="6"/>
      <c r="G281" s="6"/>
      <c r="H281" s="6" t="str">
        <f t="shared" si="13"/>
        <v/>
      </c>
      <c r="I281" s="5" t="str">
        <f t="shared" si="14"/>
        <v/>
      </c>
      <c r="J281" s="5"/>
    </row>
    <row r="282" spans="1:10" x14ac:dyDescent="0.25">
      <c r="A282" s="4" t="str">
        <f t="shared" ca="1" si="15"/>
        <v/>
      </c>
      <c r="B282" s="5"/>
      <c r="C282" s="5"/>
      <c r="D282" s="5"/>
      <c r="E282" s="5"/>
      <c r="F282" s="6"/>
      <c r="G282" s="6"/>
      <c r="H282" s="6" t="str">
        <f t="shared" si="13"/>
        <v/>
      </c>
      <c r="I282" s="5" t="str">
        <f t="shared" si="14"/>
        <v/>
      </c>
      <c r="J282" s="5"/>
    </row>
    <row r="283" spans="1:10" x14ac:dyDescent="0.25">
      <c r="A283" s="4" t="str">
        <f t="shared" ca="1" si="15"/>
        <v/>
      </c>
      <c r="B283" s="5"/>
      <c r="C283" s="5"/>
      <c r="D283" s="5"/>
      <c r="E283" s="5"/>
      <c r="F283" s="6"/>
      <c r="G283" s="6"/>
      <c r="H283" s="6" t="str">
        <f t="shared" si="13"/>
        <v/>
      </c>
      <c r="I283" s="5" t="str">
        <f t="shared" si="14"/>
        <v/>
      </c>
      <c r="J283" s="5"/>
    </row>
    <row r="284" spans="1:10" x14ac:dyDescent="0.25">
      <c r="A284" s="4" t="str">
        <f t="shared" ca="1" si="15"/>
        <v/>
      </c>
      <c r="B284" s="5"/>
      <c r="C284" s="5"/>
      <c r="D284" s="5"/>
      <c r="E284" s="5"/>
      <c r="F284" s="6"/>
      <c r="G284" s="6"/>
      <c r="H284" s="6" t="str">
        <f t="shared" si="13"/>
        <v/>
      </c>
      <c r="I284" s="5" t="str">
        <f t="shared" si="14"/>
        <v/>
      </c>
      <c r="J284" s="5"/>
    </row>
    <row r="285" spans="1:10" x14ac:dyDescent="0.25">
      <c r="A285" s="4" t="str">
        <f t="shared" ca="1" si="15"/>
        <v/>
      </c>
      <c r="B285" s="5"/>
      <c r="C285" s="5"/>
      <c r="D285" s="5"/>
      <c r="E285" s="5"/>
      <c r="F285" s="6"/>
      <c r="G285" s="6"/>
      <c r="H285" s="6" t="str">
        <f t="shared" si="13"/>
        <v/>
      </c>
      <c r="I285" s="5" t="str">
        <f t="shared" si="14"/>
        <v/>
      </c>
      <c r="J285" s="5"/>
    </row>
    <row r="286" spans="1:10" x14ac:dyDescent="0.25">
      <c r="A286" s="4" t="str">
        <f t="shared" ca="1" si="15"/>
        <v/>
      </c>
      <c r="B286" s="5"/>
      <c r="C286" s="5"/>
      <c r="D286" s="5"/>
      <c r="E286" s="5"/>
      <c r="F286" s="6"/>
      <c r="G286" s="6"/>
      <c r="H286" s="6" t="str">
        <f t="shared" si="13"/>
        <v/>
      </c>
      <c r="I286" s="5" t="str">
        <f t="shared" si="14"/>
        <v/>
      </c>
      <c r="J286" s="5"/>
    </row>
    <row r="287" spans="1:10" x14ac:dyDescent="0.25">
      <c r="A287" s="4" t="str">
        <f t="shared" ca="1" si="15"/>
        <v/>
      </c>
      <c r="B287" s="5"/>
      <c r="C287" s="5"/>
      <c r="D287" s="5"/>
      <c r="E287" s="5"/>
      <c r="F287" s="6"/>
      <c r="G287" s="6"/>
      <c r="H287" s="6" t="str">
        <f t="shared" si="13"/>
        <v/>
      </c>
      <c r="I287" s="5" t="str">
        <f t="shared" si="14"/>
        <v/>
      </c>
      <c r="J287" s="5"/>
    </row>
    <row r="288" spans="1:10" x14ac:dyDescent="0.25">
      <c r="A288" s="4" t="str">
        <f t="shared" ca="1" si="15"/>
        <v/>
      </c>
      <c r="B288" s="5"/>
      <c r="C288" s="5"/>
      <c r="D288" s="5"/>
      <c r="E288" s="5"/>
      <c r="F288" s="6"/>
      <c r="G288" s="6"/>
      <c r="H288" s="6" t="str">
        <f t="shared" si="13"/>
        <v/>
      </c>
      <c r="I288" s="5" t="str">
        <f t="shared" si="14"/>
        <v/>
      </c>
      <c r="J288" s="5"/>
    </row>
    <row r="289" spans="1:10" x14ac:dyDescent="0.25">
      <c r="A289" s="4" t="str">
        <f t="shared" ca="1" si="15"/>
        <v/>
      </c>
      <c r="B289" s="5"/>
      <c r="C289" s="5"/>
      <c r="D289" s="5"/>
      <c r="E289" s="5"/>
      <c r="F289" s="6"/>
      <c r="G289" s="6"/>
      <c r="H289" s="6" t="str">
        <f t="shared" si="13"/>
        <v/>
      </c>
      <c r="I289" s="5" t="str">
        <f t="shared" si="14"/>
        <v/>
      </c>
      <c r="J289" s="5"/>
    </row>
    <row r="290" spans="1:10" x14ac:dyDescent="0.25">
      <c r="A290" s="4" t="str">
        <f t="shared" ca="1" si="15"/>
        <v/>
      </c>
      <c r="B290" s="5"/>
      <c r="C290" s="5"/>
      <c r="D290" s="5"/>
      <c r="E290" s="5"/>
      <c r="F290" s="6"/>
      <c r="G290" s="6"/>
      <c r="H290" s="6" t="str">
        <f t="shared" si="13"/>
        <v/>
      </c>
      <c r="I290" s="5" t="str">
        <f t="shared" si="14"/>
        <v/>
      </c>
      <c r="J290" s="5"/>
    </row>
    <row r="291" spans="1:10" x14ac:dyDescent="0.25">
      <c r="A291" s="4" t="str">
        <f t="shared" ca="1" si="15"/>
        <v/>
      </c>
      <c r="B291" s="5"/>
      <c r="C291" s="5"/>
      <c r="D291" s="5"/>
      <c r="E291" s="5"/>
      <c r="F291" s="6"/>
      <c r="G291" s="6"/>
      <c r="H291" s="6" t="str">
        <f t="shared" si="13"/>
        <v/>
      </c>
      <c r="I291" s="5" t="str">
        <f t="shared" si="14"/>
        <v/>
      </c>
      <c r="J291" s="5"/>
    </row>
    <row r="292" spans="1:10" x14ac:dyDescent="0.25">
      <c r="A292" s="4" t="str">
        <f t="shared" ca="1" si="15"/>
        <v/>
      </c>
      <c r="B292" s="5"/>
      <c r="C292" s="5"/>
      <c r="D292" s="5"/>
      <c r="E292" s="5"/>
      <c r="F292" s="6"/>
      <c r="G292" s="6"/>
      <c r="H292" s="6" t="str">
        <f t="shared" si="13"/>
        <v/>
      </c>
      <c r="I292" s="5" t="str">
        <f t="shared" si="14"/>
        <v/>
      </c>
      <c r="J292" s="5"/>
    </row>
    <row r="293" spans="1:10" x14ac:dyDescent="0.25">
      <c r="A293" s="4" t="str">
        <f t="shared" ca="1" si="15"/>
        <v/>
      </c>
      <c r="B293" s="5"/>
      <c r="C293" s="5"/>
      <c r="D293" s="5"/>
      <c r="E293" s="5"/>
      <c r="F293" s="6"/>
      <c r="G293" s="6"/>
      <c r="H293" s="6" t="str">
        <f t="shared" si="13"/>
        <v/>
      </c>
      <c r="I293" s="5" t="str">
        <f t="shared" si="14"/>
        <v/>
      </c>
      <c r="J293" s="5"/>
    </row>
    <row r="294" spans="1:10" x14ac:dyDescent="0.25">
      <c r="A294" s="4" t="str">
        <f t="shared" ca="1" si="15"/>
        <v/>
      </c>
      <c r="B294" s="5"/>
      <c r="C294" s="5"/>
      <c r="D294" s="5"/>
      <c r="E294" s="5"/>
      <c r="F294" s="6"/>
      <c r="G294" s="6"/>
      <c r="H294" s="6" t="str">
        <f t="shared" si="13"/>
        <v/>
      </c>
      <c r="I294" s="5" t="str">
        <f t="shared" si="14"/>
        <v/>
      </c>
      <c r="J294" s="5"/>
    </row>
    <row r="295" spans="1:10" x14ac:dyDescent="0.25">
      <c r="A295" s="4" t="str">
        <f t="shared" ca="1" si="15"/>
        <v/>
      </c>
      <c r="B295" s="5"/>
      <c r="C295" s="5"/>
      <c r="D295" s="5"/>
      <c r="E295" s="5"/>
      <c r="F295" s="6"/>
      <c r="G295" s="6"/>
      <c r="H295" s="6" t="str">
        <f t="shared" si="13"/>
        <v/>
      </c>
      <c r="I295" s="5" t="str">
        <f t="shared" si="14"/>
        <v/>
      </c>
      <c r="J295" s="5"/>
    </row>
    <row r="296" spans="1:10" x14ac:dyDescent="0.25">
      <c r="A296" s="4" t="str">
        <f t="shared" ca="1" si="15"/>
        <v/>
      </c>
      <c r="B296" s="5"/>
      <c r="C296" s="5"/>
      <c r="D296" s="5"/>
      <c r="E296" s="5"/>
      <c r="F296" s="6"/>
      <c r="G296" s="6"/>
      <c r="H296" s="6" t="str">
        <f t="shared" si="13"/>
        <v/>
      </c>
      <c r="I296" s="5" t="str">
        <f t="shared" si="14"/>
        <v/>
      </c>
      <c r="J296" s="5"/>
    </row>
    <row r="297" spans="1:10" x14ac:dyDescent="0.25">
      <c r="A297" s="4" t="str">
        <f t="shared" ca="1" si="15"/>
        <v/>
      </c>
      <c r="B297" s="5"/>
      <c r="C297" s="5"/>
      <c r="D297" s="5"/>
      <c r="E297" s="5"/>
      <c r="F297" s="6"/>
      <c r="G297" s="6"/>
      <c r="H297" s="6" t="str">
        <f t="shared" si="13"/>
        <v/>
      </c>
      <c r="I297" s="5" t="str">
        <f t="shared" si="14"/>
        <v/>
      </c>
      <c r="J297" s="5"/>
    </row>
    <row r="298" spans="1:10" x14ac:dyDescent="0.25">
      <c r="A298" s="4" t="str">
        <f t="shared" ca="1" si="15"/>
        <v/>
      </c>
      <c r="B298" s="5"/>
      <c r="C298" s="5"/>
      <c r="D298" s="5"/>
      <c r="E298" s="5"/>
      <c r="F298" s="6"/>
      <c r="G298" s="6"/>
      <c r="H298" s="6" t="str">
        <f t="shared" si="13"/>
        <v/>
      </c>
      <c r="I298" s="5" t="str">
        <f t="shared" si="14"/>
        <v/>
      </c>
      <c r="J298" s="5"/>
    </row>
    <row r="299" spans="1:10" x14ac:dyDescent="0.25">
      <c r="A299" s="4" t="str">
        <f t="shared" ca="1" si="15"/>
        <v/>
      </c>
      <c r="B299" s="5"/>
      <c r="C299" s="5"/>
      <c r="D299" s="5"/>
      <c r="E299" s="5"/>
      <c r="F299" s="6"/>
      <c r="G299" s="6"/>
      <c r="H299" s="6" t="str">
        <f t="shared" si="13"/>
        <v/>
      </c>
      <c r="I299" s="5" t="str">
        <f t="shared" si="14"/>
        <v/>
      </c>
      <c r="J299" s="5"/>
    </row>
    <row r="300" spans="1:10" x14ac:dyDescent="0.25">
      <c r="A300" s="4" t="str">
        <f t="shared" ca="1" si="15"/>
        <v/>
      </c>
      <c r="B300" s="5"/>
      <c r="C300" s="5"/>
      <c r="D300" s="5"/>
      <c r="E300" s="5"/>
      <c r="F300" s="6"/>
      <c r="G300" s="6"/>
      <c r="H300" s="6" t="str">
        <f t="shared" si="13"/>
        <v/>
      </c>
      <c r="I300" s="5" t="str">
        <f t="shared" si="14"/>
        <v/>
      </c>
      <c r="J300" s="5"/>
    </row>
    <row r="301" spans="1:10" x14ac:dyDescent="0.25">
      <c r="A301" s="4" t="str">
        <f t="shared" ca="1" si="15"/>
        <v/>
      </c>
      <c r="B301" s="5"/>
      <c r="C301" s="5"/>
      <c r="D301" s="5"/>
      <c r="E301" s="5"/>
      <c r="F301" s="6"/>
      <c r="G301" s="6"/>
      <c r="H301" s="6" t="str">
        <f t="shared" si="13"/>
        <v/>
      </c>
      <c r="I301" s="5" t="str">
        <f t="shared" si="14"/>
        <v/>
      </c>
      <c r="J301" s="5"/>
    </row>
    <row r="302" spans="1:10" x14ac:dyDescent="0.25">
      <c r="A302" s="4" t="str">
        <f t="shared" ca="1" si="15"/>
        <v/>
      </c>
      <c r="B302" s="5"/>
      <c r="C302" s="5"/>
      <c r="D302" s="5"/>
      <c r="E302" s="5"/>
      <c r="F302" s="6"/>
      <c r="G302" s="6"/>
      <c r="H302" s="6" t="str">
        <f t="shared" si="13"/>
        <v/>
      </c>
      <c r="I302" s="5" t="str">
        <f t="shared" si="14"/>
        <v/>
      </c>
      <c r="J302" s="5"/>
    </row>
    <row r="303" spans="1:10" x14ac:dyDescent="0.25">
      <c r="A303" s="4" t="str">
        <f t="shared" ca="1" si="15"/>
        <v/>
      </c>
      <c r="B303" s="5"/>
      <c r="C303" s="5"/>
      <c r="D303" s="5"/>
      <c r="E303" s="5"/>
      <c r="F303" s="6"/>
      <c r="G303" s="6"/>
      <c r="H303" s="6" t="str">
        <f t="shared" si="13"/>
        <v/>
      </c>
      <c r="I303" s="5" t="str">
        <f t="shared" si="14"/>
        <v/>
      </c>
      <c r="J303" s="5"/>
    </row>
    <row r="304" spans="1:10" x14ac:dyDescent="0.25">
      <c r="A304" s="4" t="str">
        <f t="shared" ca="1" si="15"/>
        <v/>
      </c>
      <c r="B304" s="5"/>
      <c r="C304" s="5"/>
      <c r="D304" s="5"/>
      <c r="E304" s="5"/>
      <c r="F304" s="6"/>
      <c r="G304" s="6"/>
      <c r="H304" s="6" t="str">
        <f t="shared" si="13"/>
        <v/>
      </c>
      <c r="I304" s="5" t="str">
        <f t="shared" si="14"/>
        <v/>
      </c>
      <c r="J304" s="5"/>
    </row>
    <row r="305" spans="1:10" x14ac:dyDescent="0.25">
      <c r="A305" s="4" t="str">
        <f t="shared" ca="1" si="15"/>
        <v/>
      </c>
      <c r="B305" s="5"/>
      <c r="C305" s="5"/>
      <c r="D305" s="5"/>
      <c r="E305" s="5"/>
      <c r="F305" s="6"/>
      <c r="G305" s="6"/>
      <c r="H305" s="6" t="str">
        <f t="shared" si="13"/>
        <v/>
      </c>
      <c r="I305" s="5" t="str">
        <f t="shared" si="14"/>
        <v/>
      </c>
      <c r="J305" s="5"/>
    </row>
    <row r="306" spans="1:10" x14ac:dyDescent="0.25">
      <c r="A306" s="4" t="str">
        <f t="shared" ca="1" si="15"/>
        <v/>
      </c>
      <c r="B306" s="5"/>
      <c r="C306" s="5"/>
      <c r="D306" s="5"/>
      <c r="E306" s="5"/>
      <c r="F306" s="6"/>
      <c r="G306" s="6"/>
      <c r="H306" s="6" t="str">
        <f t="shared" si="13"/>
        <v/>
      </c>
      <c r="I306" s="5" t="str">
        <f t="shared" si="14"/>
        <v/>
      </c>
      <c r="J306" s="5"/>
    </row>
    <row r="307" spans="1:10" x14ac:dyDescent="0.25">
      <c r="A307" s="4" t="str">
        <f t="shared" ca="1" si="15"/>
        <v/>
      </c>
      <c r="B307" s="5"/>
      <c r="C307" s="5"/>
      <c r="D307" s="5"/>
      <c r="E307" s="5"/>
      <c r="F307" s="6"/>
      <c r="G307" s="6"/>
      <c r="H307" s="6" t="str">
        <f t="shared" si="13"/>
        <v/>
      </c>
      <c r="I307" s="5" t="str">
        <f t="shared" si="14"/>
        <v/>
      </c>
      <c r="J307" s="5"/>
    </row>
    <row r="308" spans="1:10" x14ac:dyDescent="0.25">
      <c r="A308" s="4" t="str">
        <f t="shared" ca="1" si="15"/>
        <v/>
      </c>
      <c r="B308" s="5"/>
      <c r="C308" s="5"/>
      <c r="D308" s="5"/>
      <c r="E308" s="5"/>
      <c r="F308" s="6"/>
      <c r="G308" s="6"/>
      <c r="H308" s="6" t="str">
        <f t="shared" si="13"/>
        <v/>
      </c>
      <c r="I308" s="5" t="str">
        <f t="shared" si="14"/>
        <v/>
      </c>
      <c r="J308" s="5"/>
    </row>
    <row r="309" spans="1:10" x14ac:dyDescent="0.25">
      <c r="A309" s="4" t="str">
        <f t="shared" ca="1" si="15"/>
        <v/>
      </c>
      <c r="B309" s="5"/>
      <c r="C309" s="5"/>
      <c r="D309" s="5"/>
      <c r="E309" s="5"/>
      <c r="F309" s="6"/>
      <c r="G309" s="6"/>
      <c r="H309" s="6" t="str">
        <f t="shared" si="13"/>
        <v/>
      </c>
      <c r="I309" s="5" t="str">
        <f t="shared" si="14"/>
        <v/>
      </c>
      <c r="J309" s="5"/>
    </row>
    <row r="310" spans="1:10" x14ac:dyDescent="0.25">
      <c r="A310" s="4" t="str">
        <f t="shared" ca="1" si="15"/>
        <v/>
      </c>
      <c r="B310" s="5"/>
      <c r="C310" s="5"/>
      <c r="D310" s="5"/>
      <c r="E310" s="5"/>
      <c r="F310" s="6"/>
      <c r="G310" s="6"/>
      <c r="H310" s="6" t="str">
        <f t="shared" si="13"/>
        <v/>
      </c>
      <c r="I310" s="5" t="str">
        <f t="shared" si="14"/>
        <v/>
      </c>
      <c r="J310" s="5"/>
    </row>
    <row r="311" spans="1:10" x14ac:dyDescent="0.25">
      <c r="A311" s="4" t="str">
        <f t="shared" ca="1" si="15"/>
        <v/>
      </c>
      <c r="B311" s="5"/>
      <c r="C311" s="5"/>
      <c r="D311" s="5"/>
      <c r="E311" s="5"/>
      <c r="F311" s="6"/>
      <c r="G311" s="6"/>
      <c r="H311" s="6" t="str">
        <f t="shared" si="13"/>
        <v/>
      </c>
      <c r="I311" s="5" t="str">
        <f t="shared" si="14"/>
        <v/>
      </c>
      <c r="J311" s="5"/>
    </row>
    <row r="312" spans="1:10" x14ac:dyDescent="0.25">
      <c r="A312" s="4" t="str">
        <f t="shared" ca="1" si="15"/>
        <v/>
      </c>
      <c r="B312" s="5"/>
      <c r="C312" s="5"/>
      <c r="D312" s="5"/>
      <c r="E312" s="5"/>
      <c r="F312" s="6"/>
      <c r="G312" s="6"/>
      <c r="H312" s="6" t="str">
        <f t="shared" si="13"/>
        <v/>
      </c>
      <c r="I312" s="5" t="str">
        <f t="shared" si="14"/>
        <v/>
      </c>
      <c r="J312" s="5"/>
    </row>
    <row r="313" spans="1:10" x14ac:dyDescent="0.25">
      <c r="A313" s="4" t="str">
        <f t="shared" ca="1" si="15"/>
        <v/>
      </c>
      <c r="B313" s="5"/>
      <c r="C313" s="5"/>
      <c r="D313" s="5"/>
      <c r="E313" s="5"/>
      <c r="F313" s="6"/>
      <c r="G313" s="6"/>
      <c r="H313" s="6" t="str">
        <f t="shared" si="13"/>
        <v/>
      </c>
      <c r="I313" s="5" t="str">
        <f t="shared" si="14"/>
        <v/>
      </c>
      <c r="J313" s="5"/>
    </row>
    <row r="314" spans="1:10" x14ac:dyDescent="0.25">
      <c r="A314" s="4" t="str">
        <f t="shared" ca="1" si="15"/>
        <v/>
      </c>
      <c r="B314" s="5"/>
      <c r="C314" s="5"/>
      <c r="D314" s="5"/>
      <c r="E314" s="5"/>
      <c r="F314" s="6"/>
      <c r="G314" s="6"/>
      <c r="H314" s="6" t="str">
        <f t="shared" si="13"/>
        <v/>
      </c>
      <c r="I314" s="5" t="str">
        <f t="shared" si="14"/>
        <v/>
      </c>
      <c r="J314" s="5"/>
    </row>
    <row r="315" spans="1:10" x14ac:dyDescent="0.25">
      <c r="A315" s="4" t="str">
        <f t="shared" ca="1" si="15"/>
        <v/>
      </c>
      <c r="B315" s="5"/>
      <c r="C315" s="5"/>
      <c r="D315" s="5"/>
      <c r="E315" s="5"/>
      <c r="F315" s="6"/>
      <c r="G315" s="6"/>
      <c r="H315" s="6" t="str">
        <f t="shared" si="13"/>
        <v/>
      </c>
      <c r="I315" s="5" t="str">
        <f t="shared" si="14"/>
        <v/>
      </c>
      <c r="J315" s="5"/>
    </row>
    <row r="316" spans="1:10" x14ac:dyDescent="0.25">
      <c r="A316" s="4" t="str">
        <f t="shared" ca="1" si="15"/>
        <v/>
      </c>
      <c r="B316" s="5"/>
      <c r="C316" s="5"/>
      <c r="D316" s="5"/>
      <c r="E316" s="5"/>
      <c r="F316" s="6"/>
      <c r="G316" s="6"/>
      <c r="H316" s="6" t="str">
        <f t="shared" si="13"/>
        <v/>
      </c>
      <c r="I316" s="5" t="str">
        <f t="shared" si="14"/>
        <v/>
      </c>
      <c r="J316" s="5"/>
    </row>
    <row r="317" spans="1:10" x14ac:dyDescent="0.25">
      <c r="A317" s="4" t="str">
        <f t="shared" ca="1" si="15"/>
        <v/>
      </c>
      <c r="B317" s="5"/>
      <c r="C317" s="5"/>
      <c r="D317" s="5"/>
      <c r="E317" s="5"/>
      <c r="F317" s="6"/>
      <c r="G317" s="6"/>
      <c r="H317" s="6" t="str">
        <f t="shared" si="13"/>
        <v/>
      </c>
      <c r="I317" s="5" t="str">
        <f t="shared" si="14"/>
        <v/>
      </c>
      <c r="J317" s="5"/>
    </row>
    <row r="318" spans="1:10" x14ac:dyDescent="0.25">
      <c r="A318" s="4" t="str">
        <f t="shared" ca="1" si="15"/>
        <v/>
      </c>
      <c r="B318" s="5"/>
      <c r="C318" s="5"/>
      <c r="D318" s="5"/>
      <c r="E318" s="5"/>
      <c r="F318" s="6"/>
      <c r="G318" s="6"/>
      <c r="H318" s="6" t="str">
        <f t="shared" si="13"/>
        <v/>
      </c>
      <c r="I318" s="5" t="str">
        <f t="shared" si="14"/>
        <v/>
      </c>
      <c r="J318" s="5"/>
    </row>
    <row r="319" spans="1:10" x14ac:dyDescent="0.25">
      <c r="A319" s="4" t="str">
        <f t="shared" ca="1" si="15"/>
        <v/>
      </c>
      <c r="B319" s="5"/>
      <c r="C319" s="5"/>
      <c r="D319" s="5"/>
      <c r="E319" s="5"/>
      <c r="F319" s="6"/>
      <c r="G319" s="6"/>
      <c r="H319" s="6" t="str">
        <f t="shared" si="13"/>
        <v/>
      </c>
      <c r="I319" s="5" t="str">
        <f t="shared" si="14"/>
        <v/>
      </c>
      <c r="J319" s="5"/>
    </row>
    <row r="320" spans="1:10" x14ac:dyDescent="0.25">
      <c r="A320" s="4" t="str">
        <f t="shared" ca="1" si="15"/>
        <v/>
      </c>
      <c r="B320" s="5"/>
      <c r="C320" s="5"/>
      <c r="D320" s="5"/>
      <c r="E320" s="5"/>
      <c r="F320" s="6"/>
      <c r="G320" s="6"/>
      <c r="H320" s="6" t="str">
        <f t="shared" si="13"/>
        <v/>
      </c>
      <c r="I320" s="5" t="str">
        <f t="shared" si="14"/>
        <v/>
      </c>
      <c r="J320" s="5"/>
    </row>
    <row r="321" spans="1:10" x14ac:dyDescent="0.25">
      <c r="A321" s="4" t="str">
        <f t="shared" ca="1" si="15"/>
        <v/>
      </c>
      <c r="B321" s="5"/>
      <c r="C321" s="5"/>
      <c r="D321" s="5"/>
      <c r="E321" s="5"/>
      <c r="F321" s="6"/>
      <c r="G321" s="6"/>
      <c r="H321" s="6" t="str">
        <f t="shared" si="13"/>
        <v/>
      </c>
      <c r="I321" s="5" t="str">
        <f t="shared" si="14"/>
        <v/>
      </c>
      <c r="J321" s="5"/>
    </row>
    <row r="322" spans="1:10" x14ac:dyDescent="0.25">
      <c r="A322" s="4" t="str">
        <f t="shared" ca="1" si="15"/>
        <v/>
      </c>
      <c r="B322" s="5"/>
      <c r="C322" s="5"/>
      <c r="D322" s="5"/>
      <c r="E322" s="5"/>
      <c r="F322" s="6"/>
      <c r="G322" s="6"/>
      <c r="H322" s="6" t="str">
        <f t="shared" si="13"/>
        <v/>
      </c>
      <c r="I322" s="5" t="str">
        <f t="shared" si="14"/>
        <v/>
      </c>
      <c r="J322" s="5"/>
    </row>
    <row r="323" spans="1:10" x14ac:dyDescent="0.25">
      <c r="A323" s="4" t="str">
        <f t="shared" ca="1" si="15"/>
        <v/>
      </c>
      <c r="B323" s="5"/>
      <c r="C323" s="5"/>
      <c r="D323" s="5"/>
      <c r="E323" s="5"/>
      <c r="F323" s="6"/>
      <c r="G323" s="6"/>
      <c r="H323" s="6" t="str">
        <f t="shared" si="13"/>
        <v/>
      </c>
      <c r="I323" s="5" t="str">
        <f t="shared" si="14"/>
        <v/>
      </c>
      <c r="J323" s="5"/>
    </row>
    <row r="324" spans="1:10" x14ac:dyDescent="0.25">
      <c r="A324" s="4" t="str">
        <f t="shared" ca="1" si="15"/>
        <v/>
      </c>
      <c r="B324" s="5"/>
      <c r="C324" s="5"/>
      <c r="D324" s="5"/>
      <c r="E324" s="5"/>
      <c r="F324" s="6"/>
      <c r="G324" s="6"/>
      <c r="H324" s="6" t="str">
        <f t="shared" si="13"/>
        <v/>
      </c>
      <c r="I324" s="5" t="str">
        <f t="shared" si="14"/>
        <v/>
      </c>
      <c r="J324" s="5"/>
    </row>
    <row r="325" spans="1:10" x14ac:dyDescent="0.25">
      <c r="A325" s="4" t="str">
        <f t="shared" ca="1" si="15"/>
        <v/>
      </c>
      <c r="B325" s="5"/>
      <c r="C325" s="5"/>
      <c r="D325" s="5"/>
      <c r="E325" s="5"/>
      <c r="F325" s="6"/>
      <c r="G325" s="6"/>
      <c r="H325" s="6" t="str">
        <f t="shared" ref="H325:H388" si="16">IF(F325="","",MAX(F325-G325,0))</f>
        <v/>
      </c>
      <c r="I325" s="5" t="str">
        <f t="shared" ref="I325:I388" si="17">IF(F325="","",IF(H325=0,"PAGADO","CRÉDITO"))</f>
        <v/>
      </c>
      <c r="J325" s="5"/>
    </row>
    <row r="326" spans="1:10" x14ac:dyDescent="0.25">
      <c r="A326" s="4" t="str">
        <f t="shared" ca="1" si="15"/>
        <v/>
      </c>
      <c r="B326" s="5"/>
      <c r="C326" s="5"/>
      <c r="D326" s="5"/>
      <c r="E326" s="5"/>
      <c r="F326" s="6"/>
      <c r="G326" s="6"/>
      <c r="H326" s="6" t="str">
        <f t="shared" si="16"/>
        <v/>
      </c>
      <c r="I326" s="5" t="str">
        <f t="shared" si="17"/>
        <v/>
      </c>
      <c r="J326" s="5"/>
    </row>
    <row r="327" spans="1:10" x14ac:dyDescent="0.25">
      <c r="A327" s="4" t="str">
        <f t="shared" ca="1" si="15"/>
        <v/>
      </c>
      <c r="B327" s="5"/>
      <c r="C327" s="5"/>
      <c r="D327" s="5"/>
      <c r="E327" s="5"/>
      <c r="F327" s="6"/>
      <c r="G327" s="6"/>
      <c r="H327" s="6" t="str">
        <f t="shared" si="16"/>
        <v/>
      </c>
      <c r="I327" s="5" t="str">
        <f t="shared" si="17"/>
        <v/>
      </c>
      <c r="J327" s="5"/>
    </row>
    <row r="328" spans="1:10" x14ac:dyDescent="0.25">
      <c r="A328" s="4" t="str">
        <f t="shared" ca="1" si="15"/>
        <v/>
      </c>
      <c r="B328" s="5"/>
      <c r="C328" s="5"/>
      <c r="D328" s="5"/>
      <c r="E328" s="5"/>
      <c r="F328" s="6"/>
      <c r="G328" s="6"/>
      <c r="H328" s="6" t="str">
        <f t="shared" si="16"/>
        <v/>
      </c>
      <c r="I328" s="5" t="str">
        <f t="shared" si="17"/>
        <v/>
      </c>
      <c r="J328" s="5"/>
    </row>
    <row r="329" spans="1:10" x14ac:dyDescent="0.25">
      <c r="A329" s="4" t="str">
        <f t="shared" ca="1" si="15"/>
        <v/>
      </c>
      <c r="B329" s="5"/>
      <c r="C329" s="5"/>
      <c r="D329" s="5"/>
      <c r="E329" s="5"/>
      <c r="F329" s="6"/>
      <c r="G329" s="6"/>
      <c r="H329" s="6" t="str">
        <f t="shared" si="16"/>
        <v/>
      </c>
      <c r="I329" s="5" t="str">
        <f t="shared" si="17"/>
        <v/>
      </c>
      <c r="J329" s="5"/>
    </row>
    <row r="330" spans="1:10" x14ac:dyDescent="0.25">
      <c r="A330" s="4" t="str">
        <f t="shared" ca="1" si="15"/>
        <v/>
      </c>
      <c r="B330" s="5"/>
      <c r="C330" s="5"/>
      <c r="D330" s="5"/>
      <c r="E330" s="5"/>
      <c r="F330" s="6"/>
      <c r="G330" s="6"/>
      <c r="H330" s="6" t="str">
        <f t="shared" si="16"/>
        <v/>
      </c>
      <c r="I330" s="5" t="str">
        <f t="shared" si="17"/>
        <v/>
      </c>
      <c r="J330" s="5"/>
    </row>
    <row r="331" spans="1:10" x14ac:dyDescent="0.25">
      <c r="A331" s="4" t="str">
        <f t="shared" ca="1" si="15"/>
        <v/>
      </c>
      <c r="B331" s="5"/>
      <c r="C331" s="5"/>
      <c r="D331" s="5"/>
      <c r="E331" s="5"/>
      <c r="F331" s="6"/>
      <c r="G331" s="6"/>
      <c r="H331" s="6" t="str">
        <f t="shared" si="16"/>
        <v/>
      </c>
      <c r="I331" s="5" t="str">
        <f t="shared" si="17"/>
        <v/>
      </c>
      <c r="J331" s="5"/>
    </row>
    <row r="332" spans="1:10" x14ac:dyDescent="0.25">
      <c r="A332" s="4" t="str">
        <f t="shared" ca="1" si="15"/>
        <v/>
      </c>
      <c r="B332" s="5"/>
      <c r="C332" s="5"/>
      <c r="D332" s="5"/>
      <c r="E332" s="5"/>
      <c r="F332" s="6"/>
      <c r="G332" s="6"/>
      <c r="H332" s="6" t="str">
        <f t="shared" si="16"/>
        <v/>
      </c>
      <c r="I332" s="5" t="str">
        <f t="shared" si="17"/>
        <v/>
      </c>
      <c r="J332" s="5"/>
    </row>
    <row r="333" spans="1:10" x14ac:dyDescent="0.25">
      <c r="A333" s="4" t="str">
        <f t="shared" ca="1" si="15"/>
        <v/>
      </c>
      <c r="B333" s="5"/>
      <c r="C333" s="5"/>
      <c r="D333" s="5"/>
      <c r="E333" s="5"/>
      <c r="F333" s="6"/>
      <c r="G333" s="6"/>
      <c r="H333" s="6" t="str">
        <f t="shared" si="16"/>
        <v/>
      </c>
      <c r="I333" s="5" t="str">
        <f t="shared" si="17"/>
        <v/>
      </c>
      <c r="J333" s="5"/>
    </row>
    <row r="334" spans="1:10" x14ac:dyDescent="0.25">
      <c r="A334" s="4" t="str">
        <f t="shared" ca="1" si="15"/>
        <v/>
      </c>
      <c r="B334" s="5"/>
      <c r="C334" s="5"/>
      <c r="D334" s="5"/>
      <c r="E334" s="5"/>
      <c r="F334" s="6"/>
      <c r="G334" s="6"/>
      <c r="H334" s="6" t="str">
        <f t="shared" si="16"/>
        <v/>
      </c>
      <c r="I334" s="5" t="str">
        <f t="shared" si="17"/>
        <v/>
      </c>
      <c r="J334" s="5"/>
    </row>
    <row r="335" spans="1:10" x14ac:dyDescent="0.25">
      <c r="A335" s="4" t="str">
        <f t="shared" ca="1" si="15"/>
        <v/>
      </c>
      <c r="B335" s="5"/>
      <c r="C335" s="5"/>
      <c r="D335" s="5"/>
      <c r="E335" s="5"/>
      <c r="F335" s="6"/>
      <c r="G335" s="6"/>
      <c r="H335" s="6" t="str">
        <f t="shared" si="16"/>
        <v/>
      </c>
      <c r="I335" s="5" t="str">
        <f t="shared" si="17"/>
        <v/>
      </c>
      <c r="J335" s="5"/>
    </row>
    <row r="336" spans="1:10" x14ac:dyDescent="0.25">
      <c r="A336" s="4" t="str">
        <f t="shared" ca="1" si="15"/>
        <v/>
      </c>
      <c r="B336" s="5"/>
      <c r="C336" s="5"/>
      <c r="D336" s="5"/>
      <c r="E336" s="5"/>
      <c r="F336" s="6"/>
      <c r="G336" s="6"/>
      <c r="H336" s="6" t="str">
        <f t="shared" si="16"/>
        <v/>
      </c>
      <c r="I336" s="5" t="str">
        <f t="shared" si="17"/>
        <v/>
      </c>
      <c r="J336" s="5"/>
    </row>
    <row r="337" spans="1:10" x14ac:dyDescent="0.25">
      <c r="A337" s="4" t="str">
        <f t="shared" ref="A337:A400" ca="1" si="18">IF(B337="","",TODAY())</f>
        <v/>
      </c>
      <c r="B337" s="5"/>
      <c r="C337" s="5"/>
      <c r="D337" s="5"/>
      <c r="E337" s="5"/>
      <c r="F337" s="6"/>
      <c r="G337" s="6"/>
      <c r="H337" s="6" t="str">
        <f t="shared" si="16"/>
        <v/>
      </c>
      <c r="I337" s="5" t="str">
        <f t="shared" si="17"/>
        <v/>
      </c>
      <c r="J337" s="5"/>
    </row>
    <row r="338" spans="1:10" x14ac:dyDescent="0.25">
      <c r="A338" s="4" t="str">
        <f t="shared" ca="1" si="18"/>
        <v/>
      </c>
      <c r="B338" s="5"/>
      <c r="C338" s="5"/>
      <c r="D338" s="5"/>
      <c r="E338" s="5"/>
      <c r="F338" s="6"/>
      <c r="G338" s="6"/>
      <c r="H338" s="6" t="str">
        <f t="shared" si="16"/>
        <v/>
      </c>
      <c r="I338" s="5" t="str">
        <f t="shared" si="17"/>
        <v/>
      </c>
      <c r="J338" s="5"/>
    </row>
    <row r="339" spans="1:10" x14ac:dyDescent="0.25">
      <c r="A339" s="4" t="str">
        <f t="shared" ca="1" si="18"/>
        <v/>
      </c>
      <c r="B339" s="5"/>
      <c r="C339" s="5"/>
      <c r="D339" s="5"/>
      <c r="E339" s="5"/>
      <c r="F339" s="6"/>
      <c r="G339" s="6"/>
      <c r="H339" s="6" t="str">
        <f t="shared" si="16"/>
        <v/>
      </c>
      <c r="I339" s="5" t="str">
        <f t="shared" si="17"/>
        <v/>
      </c>
      <c r="J339" s="5"/>
    </row>
    <row r="340" spans="1:10" x14ac:dyDescent="0.25">
      <c r="A340" s="4" t="str">
        <f t="shared" ca="1" si="18"/>
        <v/>
      </c>
      <c r="B340" s="5"/>
      <c r="C340" s="5"/>
      <c r="D340" s="5"/>
      <c r="E340" s="5"/>
      <c r="F340" s="6"/>
      <c r="G340" s="6"/>
      <c r="H340" s="6" t="str">
        <f t="shared" si="16"/>
        <v/>
      </c>
      <c r="I340" s="5" t="str">
        <f t="shared" si="17"/>
        <v/>
      </c>
      <c r="J340" s="5"/>
    </row>
    <row r="341" spans="1:10" x14ac:dyDescent="0.25">
      <c r="A341" s="4" t="str">
        <f t="shared" ca="1" si="18"/>
        <v/>
      </c>
      <c r="B341" s="5"/>
      <c r="C341" s="5"/>
      <c r="D341" s="5"/>
      <c r="E341" s="5"/>
      <c r="F341" s="6"/>
      <c r="G341" s="6"/>
      <c r="H341" s="6" t="str">
        <f t="shared" si="16"/>
        <v/>
      </c>
      <c r="I341" s="5" t="str">
        <f t="shared" si="17"/>
        <v/>
      </c>
      <c r="J341" s="5"/>
    </row>
    <row r="342" spans="1:10" x14ac:dyDescent="0.25">
      <c r="A342" s="4" t="str">
        <f t="shared" ca="1" si="18"/>
        <v/>
      </c>
      <c r="B342" s="5"/>
      <c r="C342" s="5"/>
      <c r="D342" s="5"/>
      <c r="E342" s="5"/>
      <c r="F342" s="6"/>
      <c r="G342" s="6"/>
      <c r="H342" s="6" t="str">
        <f t="shared" si="16"/>
        <v/>
      </c>
      <c r="I342" s="5" t="str">
        <f t="shared" si="17"/>
        <v/>
      </c>
      <c r="J342" s="5"/>
    </row>
    <row r="343" spans="1:10" x14ac:dyDescent="0.25">
      <c r="A343" s="4" t="str">
        <f t="shared" ca="1" si="18"/>
        <v/>
      </c>
      <c r="B343" s="5"/>
      <c r="C343" s="5"/>
      <c r="D343" s="5"/>
      <c r="E343" s="5"/>
      <c r="F343" s="6"/>
      <c r="G343" s="6"/>
      <c r="H343" s="6" t="str">
        <f t="shared" si="16"/>
        <v/>
      </c>
      <c r="I343" s="5" t="str">
        <f t="shared" si="17"/>
        <v/>
      </c>
      <c r="J343" s="5"/>
    </row>
    <row r="344" spans="1:10" x14ac:dyDescent="0.25">
      <c r="A344" s="4" t="str">
        <f t="shared" ca="1" si="18"/>
        <v/>
      </c>
      <c r="B344" s="5"/>
      <c r="C344" s="5"/>
      <c r="D344" s="5"/>
      <c r="E344" s="5"/>
      <c r="F344" s="6"/>
      <c r="G344" s="6"/>
      <c r="H344" s="6" t="str">
        <f t="shared" si="16"/>
        <v/>
      </c>
      <c r="I344" s="5" t="str">
        <f t="shared" si="17"/>
        <v/>
      </c>
      <c r="J344" s="5"/>
    </row>
    <row r="345" spans="1:10" x14ac:dyDescent="0.25">
      <c r="A345" s="4" t="str">
        <f t="shared" ca="1" si="18"/>
        <v/>
      </c>
      <c r="B345" s="5"/>
      <c r="C345" s="5"/>
      <c r="D345" s="5"/>
      <c r="E345" s="5"/>
      <c r="F345" s="6"/>
      <c r="G345" s="6"/>
      <c r="H345" s="6" t="str">
        <f t="shared" si="16"/>
        <v/>
      </c>
      <c r="I345" s="5" t="str">
        <f t="shared" si="17"/>
        <v/>
      </c>
      <c r="J345" s="5"/>
    </row>
    <row r="346" spans="1:10" x14ac:dyDescent="0.25">
      <c r="A346" s="4" t="str">
        <f t="shared" ca="1" si="18"/>
        <v/>
      </c>
      <c r="B346" s="5"/>
      <c r="C346" s="5"/>
      <c r="D346" s="5"/>
      <c r="E346" s="5"/>
      <c r="F346" s="6"/>
      <c r="G346" s="6"/>
      <c r="H346" s="6" t="str">
        <f t="shared" si="16"/>
        <v/>
      </c>
      <c r="I346" s="5" t="str">
        <f t="shared" si="17"/>
        <v/>
      </c>
      <c r="J346" s="5"/>
    </row>
    <row r="347" spans="1:10" x14ac:dyDescent="0.25">
      <c r="A347" s="4" t="str">
        <f t="shared" ca="1" si="18"/>
        <v/>
      </c>
      <c r="B347" s="5"/>
      <c r="C347" s="5"/>
      <c r="D347" s="5"/>
      <c r="E347" s="5"/>
      <c r="F347" s="6"/>
      <c r="G347" s="6"/>
      <c r="H347" s="6" t="str">
        <f t="shared" si="16"/>
        <v/>
      </c>
      <c r="I347" s="5" t="str">
        <f t="shared" si="17"/>
        <v/>
      </c>
      <c r="J347" s="5"/>
    </row>
    <row r="348" spans="1:10" x14ac:dyDescent="0.25">
      <c r="A348" s="4" t="str">
        <f t="shared" ca="1" si="18"/>
        <v/>
      </c>
      <c r="B348" s="5"/>
      <c r="C348" s="5"/>
      <c r="D348" s="5"/>
      <c r="E348" s="5"/>
      <c r="F348" s="6"/>
      <c r="G348" s="6"/>
      <c r="H348" s="6" t="str">
        <f t="shared" si="16"/>
        <v/>
      </c>
      <c r="I348" s="5" t="str">
        <f t="shared" si="17"/>
        <v/>
      </c>
      <c r="J348" s="5"/>
    </row>
    <row r="349" spans="1:10" x14ac:dyDescent="0.25">
      <c r="A349" s="4" t="str">
        <f t="shared" ca="1" si="18"/>
        <v/>
      </c>
      <c r="B349" s="5"/>
      <c r="C349" s="5"/>
      <c r="D349" s="5"/>
      <c r="E349" s="5"/>
      <c r="F349" s="6"/>
      <c r="G349" s="6"/>
      <c r="H349" s="6" t="str">
        <f t="shared" si="16"/>
        <v/>
      </c>
      <c r="I349" s="5" t="str">
        <f t="shared" si="17"/>
        <v/>
      </c>
      <c r="J349" s="5"/>
    </row>
    <row r="350" spans="1:10" x14ac:dyDescent="0.25">
      <c r="A350" s="4" t="str">
        <f t="shared" ca="1" si="18"/>
        <v/>
      </c>
      <c r="B350" s="5"/>
      <c r="C350" s="5"/>
      <c r="D350" s="5"/>
      <c r="E350" s="5"/>
      <c r="F350" s="6"/>
      <c r="G350" s="6"/>
      <c r="H350" s="6" t="str">
        <f t="shared" si="16"/>
        <v/>
      </c>
      <c r="I350" s="5" t="str">
        <f t="shared" si="17"/>
        <v/>
      </c>
      <c r="J350" s="5"/>
    </row>
    <row r="351" spans="1:10" x14ac:dyDescent="0.25">
      <c r="A351" s="4" t="str">
        <f t="shared" ca="1" si="18"/>
        <v/>
      </c>
      <c r="B351" s="5"/>
      <c r="C351" s="5"/>
      <c r="D351" s="5"/>
      <c r="E351" s="5"/>
      <c r="F351" s="6"/>
      <c r="G351" s="6"/>
      <c r="H351" s="6" t="str">
        <f t="shared" si="16"/>
        <v/>
      </c>
      <c r="I351" s="5" t="str">
        <f t="shared" si="17"/>
        <v/>
      </c>
      <c r="J351" s="5"/>
    </row>
    <row r="352" spans="1:10" x14ac:dyDescent="0.25">
      <c r="A352" s="4" t="str">
        <f t="shared" ca="1" si="18"/>
        <v/>
      </c>
      <c r="B352" s="5"/>
      <c r="C352" s="5"/>
      <c r="D352" s="5"/>
      <c r="E352" s="5"/>
      <c r="F352" s="6"/>
      <c r="G352" s="6"/>
      <c r="H352" s="6" t="str">
        <f t="shared" si="16"/>
        <v/>
      </c>
      <c r="I352" s="5" t="str">
        <f t="shared" si="17"/>
        <v/>
      </c>
      <c r="J352" s="5"/>
    </row>
    <row r="353" spans="1:10" x14ac:dyDescent="0.25">
      <c r="A353" s="4" t="str">
        <f t="shared" ca="1" si="18"/>
        <v/>
      </c>
      <c r="B353" s="5"/>
      <c r="C353" s="5"/>
      <c r="D353" s="5"/>
      <c r="E353" s="5"/>
      <c r="F353" s="6"/>
      <c r="G353" s="6"/>
      <c r="H353" s="6" t="str">
        <f t="shared" si="16"/>
        <v/>
      </c>
      <c r="I353" s="5" t="str">
        <f t="shared" si="17"/>
        <v/>
      </c>
      <c r="J353" s="5"/>
    </row>
    <row r="354" spans="1:10" x14ac:dyDescent="0.25">
      <c r="A354" s="4" t="str">
        <f t="shared" ca="1" si="18"/>
        <v/>
      </c>
      <c r="B354" s="5"/>
      <c r="C354" s="5"/>
      <c r="D354" s="5"/>
      <c r="E354" s="5"/>
      <c r="F354" s="6"/>
      <c r="G354" s="6"/>
      <c r="H354" s="6" t="str">
        <f t="shared" si="16"/>
        <v/>
      </c>
      <c r="I354" s="5" t="str">
        <f t="shared" si="17"/>
        <v/>
      </c>
      <c r="J354" s="5"/>
    </row>
    <row r="355" spans="1:10" x14ac:dyDescent="0.25">
      <c r="A355" s="4" t="str">
        <f t="shared" ca="1" si="18"/>
        <v/>
      </c>
      <c r="B355" s="5"/>
      <c r="C355" s="5"/>
      <c r="D355" s="5"/>
      <c r="E355" s="5"/>
      <c r="F355" s="6"/>
      <c r="G355" s="6"/>
      <c r="H355" s="6" t="str">
        <f t="shared" si="16"/>
        <v/>
      </c>
      <c r="I355" s="5" t="str">
        <f t="shared" si="17"/>
        <v/>
      </c>
      <c r="J355" s="5"/>
    </row>
    <row r="356" spans="1:10" x14ac:dyDescent="0.25">
      <c r="A356" s="4" t="str">
        <f t="shared" ca="1" si="18"/>
        <v/>
      </c>
      <c r="B356" s="5"/>
      <c r="C356" s="5"/>
      <c r="D356" s="5"/>
      <c r="E356" s="5"/>
      <c r="F356" s="6"/>
      <c r="G356" s="6"/>
      <c r="H356" s="6" t="str">
        <f t="shared" si="16"/>
        <v/>
      </c>
      <c r="I356" s="5" t="str">
        <f t="shared" si="17"/>
        <v/>
      </c>
      <c r="J356" s="5"/>
    </row>
    <row r="357" spans="1:10" x14ac:dyDescent="0.25">
      <c r="A357" s="4" t="str">
        <f t="shared" ca="1" si="18"/>
        <v/>
      </c>
      <c r="B357" s="5"/>
      <c r="C357" s="5"/>
      <c r="D357" s="5"/>
      <c r="E357" s="5"/>
      <c r="F357" s="6"/>
      <c r="G357" s="6"/>
      <c r="H357" s="6" t="str">
        <f t="shared" si="16"/>
        <v/>
      </c>
      <c r="I357" s="5" t="str">
        <f t="shared" si="17"/>
        <v/>
      </c>
      <c r="J357" s="5"/>
    </row>
    <row r="358" spans="1:10" x14ac:dyDescent="0.25">
      <c r="A358" s="4" t="str">
        <f t="shared" ca="1" si="18"/>
        <v/>
      </c>
      <c r="B358" s="5"/>
      <c r="C358" s="5"/>
      <c r="D358" s="5"/>
      <c r="E358" s="5"/>
      <c r="F358" s="6"/>
      <c r="G358" s="6"/>
      <c r="H358" s="6" t="str">
        <f t="shared" si="16"/>
        <v/>
      </c>
      <c r="I358" s="5" t="str">
        <f t="shared" si="17"/>
        <v/>
      </c>
      <c r="J358" s="5"/>
    </row>
    <row r="359" spans="1:10" x14ac:dyDescent="0.25">
      <c r="A359" s="4" t="str">
        <f t="shared" ca="1" si="18"/>
        <v/>
      </c>
      <c r="B359" s="5"/>
      <c r="C359" s="5"/>
      <c r="D359" s="5"/>
      <c r="E359" s="5"/>
      <c r="F359" s="6"/>
      <c r="G359" s="6"/>
      <c r="H359" s="6" t="str">
        <f t="shared" si="16"/>
        <v/>
      </c>
      <c r="I359" s="5" t="str">
        <f t="shared" si="17"/>
        <v/>
      </c>
      <c r="J359" s="5"/>
    </row>
    <row r="360" spans="1:10" x14ac:dyDescent="0.25">
      <c r="A360" s="4" t="str">
        <f t="shared" ca="1" si="18"/>
        <v/>
      </c>
      <c r="B360" s="5"/>
      <c r="C360" s="5"/>
      <c r="D360" s="5"/>
      <c r="E360" s="5"/>
      <c r="F360" s="6"/>
      <c r="G360" s="6"/>
      <c r="H360" s="6" t="str">
        <f t="shared" si="16"/>
        <v/>
      </c>
      <c r="I360" s="5" t="str">
        <f t="shared" si="17"/>
        <v/>
      </c>
      <c r="J360" s="5"/>
    </row>
    <row r="361" spans="1:10" x14ac:dyDescent="0.25">
      <c r="A361" s="4" t="str">
        <f t="shared" ca="1" si="18"/>
        <v/>
      </c>
      <c r="B361" s="5"/>
      <c r="C361" s="5"/>
      <c r="D361" s="5"/>
      <c r="E361" s="5"/>
      <c r="F361" s="6"/>
      <c r="G361" s="6"/>
      <c r="H361" s="6" t="str">
        <f t="shared" si="16"/>
        <v/>
      </c>
      <c r="I361" s="5" t="str">
        <f t="shared" si="17"/>
        <v/>
      </c>
      <c r="J361" s="5"/>
    </row>
    <row r="362" spans="1:10" x14ac:dyDescent="0.25">
      <c r="A362" s="4" t="str">
        <f t="shared" ca="1" si="18"/>
        <v/>
      </c>
      <c r="B362" s="5"/>
      <c r="C362" s="5"/>
      <c r="D362" s="5"/>
      <c r="E362" s="5"/>
      <c r="F362" s="6"/>
      <c r="G362" s="6"/>
      <c r="H362" s="6" t="str">
        <f t="shared" si="16"/>
        <v/>
      </c>
      <c r="I362" s="5" t="str">
        <f t="shared" si="17"/>
        <v/>
      </c>
      <c r="J362" s="5"/>
    </row>
    <row r="363" spans="1:10" x14ac:dyDescent="0.25">
      <c r="A363" s="4" t="str">
        <f t="shared" ca="1" si="18"/>
        <v/>
      </c>
      <c r="B363" s="5"/>
      <c r="C363" s="5"/>
      <c r="D363" s="5"/>
      <c r="E363" s="5"/>
      <c r="F363" s="6"/>
      <c r="G363" s="6"/>
      <c r="H363" s="6" t="str">
        <f t="shared" si="16"/>
        <v/>
      </c>
      <c r="I363" s="5" t="str">
        <f t="shared" si="17"/>
        <v/>
      </c>
      <c r="J363" s="5"/>
    </row>
    <row r="364" spans="1:10" x14ac:dyDescent="0.25">
      <c r="A364" s="4" t="str">
        <f t="shared" ca="1" si="18"/>
        <v/>
      </c>
      <c r="B364" s="5"/>
      <c r="C364" s="5"/>
      <c r="D364" s="5"/>
      <c r="E364" s="5"/>
      <c r="F364" s="6"/>
      <c r="G364" s="6"/>
      <c r="H364" s="6" t="str">
        <f t="shared" si="16"/>
        <v/>
      </c>
      <c r="I364" s="5" t="str">
        <f t="shared" si="17"/>
        <v/>
      </c>
      <c r="J364" s="5"/>
    </row>
    <row r="365" spans="1:10" x14ac:dyDescent="0.25">
      <c r="A365" s="4" t="str">
        <f t="shared" ca="1" si="18"/>
        <v/>
      </c>
      <c r="B365" s="5"/>
      <c r="C365" s="5"/>
      <c r="D365" s="5"/>
      <c r="E365" s="5"/>
      <c r="F365" s="6"/>
      <c r="G365" s="6"/>
      <c r="H365" s="6" t="str">
        <f t="shared" si="16"/>
        <v/>
      </c>
      <c r="I365" s="5" t="str">
        <f t="shared" si="17"/>
        <v/>
      </c>
      <c r="J365" s="5"/>
    </row>
    <row r="366" spans="1:10" x14ac:dyDescent="0.25">
      <c r="A366" s="4" t="str">
        <f t="shared" ca="1" si="18"/>
        <v/>
      </c>
      <c r="B366" s="5"/>
      <c r="C366" s="5"/>
      <c r="D366" s="5"/>
      <c r="E366" s="5"/>
      <c r="F366" s="6"/>
      <c r="G366" s="6"/>
      <c r="H366" s="6" t="str">
        <f t="shared" si="16"/>
        <v/>
      </c>
      <c r="I366" s="5" t="str">
        <f t="shared" si="17"/>
        <v/>
      </c>
      <c r="J366" s="5"/>
    </row>
    <row r="367" spans="1:10" x14ac:dyDescent="0.25">
      <c r="A367" s="4" t="str">
        <f t="shared" ca="1" si="18"/>
        <v/>
      </c>
      <c r="B367" s="5"/>
      <c r="C367" s="5"/>
      <c r="D367" s="5"/>
      <c r="E367" s="5"/>
      <c r="F367" s="6"/>
      <c r="G367" s="6"/>
      <c r="H367" s="6" t="str">
        <f t="shared" si="16"/>
        <v/>
      </c>
      <c r="I367" s="5" t="str">
        <f t="shared" si="17"/>
        <v/>
      </c>
      <c r="J367" s="5"/>
    </row>
    <row r="368" spans="1:10" x14ac:dyDescent="0.25">
      <c r="A368" s="4" t="str">
        <f t="shared" ca="1" si="18"/>
        <v/>
      </c>
      <c r="B368" s="5"/>
      <c r="C368" s="5"/>
      <c r="D368" s="5"/>
      <c r="E368" s="5"/>
      <c r="F368" s="6"/>
      <c r="G368" s="6"/>
      <c r="H368" s="6" t="str">
        <f t="shared" si="16"/>
        <v/>
      </c>
      <c r="I368" s="5" t="str">
        <f t="shared" si="17"/>
        <v/>
      </c>
      <c r="J368" s="5"/>
    </row>
    <row r="369" spans="1:10" x14ac:dyDescent="0.25">
      <c r="A369" s="4" t="str">
        <f t="shared" ca="1" si="18"/>
        <v/>
      </c>
      <c r="B369" s="5"/>
      <c r="C369" s="5"/>
      <c r="D369" s="5"/>
      <c r="E369" s="5"/>
      <c r="F369" s="6"/>
      <c r="G369" s="6"/>
      <c r="H369" s="6" t="str">
        <f t="shared" si="16"/>
        <v/>
      </c>
      <c r="I369" s="5" t="str">
        <f t="shared" si="17"/>
        <v/>
      </c>
      <c r="J369" s="5"/>
    </row>
    <row r="370" spans="1:10" x14ac:dyDescent="0.25">
      <c r="A370" s="4" t="str">
        <f t="shared" ca="1" si="18"/>
        <v/>
      </c>
      <c r="B370" s="5"/>
      <c r="C370" s="5"/>
      <c r="D370" s="5"/>
      <c r="E370" s="5"/>
      <c r="F370" s="6"/>
      <c r="G370" s="6"/>
      <c r="H370" s="6" t="str">
        <f t="shared" si="16"/>
        <v/>
      </c>
      <c r="I370" s="5" t="str">
        <f t="shared" si="17"/>
        <v/>
      </c>
      <c r="J370" s="5"/>
    </row>
    <row r="371" spans="1:10" x14ac:dyDescent="0.25">
      <c r="A371" s="4" t="str">
        <f t="shared" ca="1" si="18"/>
        <v/>
      </c>
      <c r="B371" s="5"/>
      <c r="C371" s="5"/>
      <c r="D371" s="5"/>
      <c r="E371" s="5"/>
      <c r="F371" s="6"/>
      <c r="G371" s="6"/>
      <c r="H371" s="6" t="str">
        <f t="shared" si="16"/>
        <v/>
      </c>
      <c r="I371" s="5" t="str">
        <f t="shared" si="17"/>
        <v/>
      </c>
      <c r="J371" s="5"/>
    </row>
    <row r="372" spans="1:10" x14ac:dyDescent="0.25">
      <c r="A372" s="4" t="str">
        <f t="shared" ca="1" si="18"/>
        <v/>
      </c>
      <c r="B372" s="5"/>
      <c r="C372" s="5"/>
      <c r="D372" s="5"/>
      <c r="E372" s="5"/>
      <c r="F372" s="6"/>
      <c r="G372" s="6"/>
      <c r="H372" s="6" t="str">
        <f t="shared" si="16"/>
        <v/>
      </c>
      <c r="I372" s="5" t="str">
        <f t="shared" si="17"/>
        <v/>
      </c>
      <c r="J372" s="5"/>
    </row>
    <row r="373" spans="1:10" x14ac:dyDescent="0.25">
      <c r="A373" s="4" t="str">
        <f t="shared" ca="1" si="18"/>
        <v/>
      </c>
      <c r="B373" s="5"/>
      <c r="C373" s="5"/>
      <c r="D373" s="5"/>
      <c r="E373" s="5"/>
      <c r="F373" s="6"/>
      <c r="G373" s="6"/>
      <c r="H373" s="6" t="str">
        <f t="shared" si="16"/>
        <v/>
      </c>
      <c r="I373" s="5" t="str">
        <f t="shared" si="17"/>
        <v/>
      </c>
      <c r="J373" s="5"/>
    </row>
    <row r="374" spans="1:10" x14ac:dyDescent="0.25">
      <c r="A374" s="4" t="str">
        <f t="shared" ca="1" si="18"/>
        <v/>
      </c>
      <c r="B374" s="5"/>
      <c r="C374" s="5"/>
      <c r="D374" s="5"/>
      <c r="E374" s="5"/>
      <c r="F374" s="6"/>
      <c r="G374" s="6"/>
      <c r="H374" s="6" t="str">
        <f t="shared" si="16"/>
        <v/>
      </c>
      <c r="I374" s="5" t="str">
        <f t="shared" si="17"/>
        <v/>
      </c>
      <c r="J374" s="5"/>
    </row>
    <row r="375" spans="1:10" x14ac:dyDescent="0.25">
      <c r="A375" s="4" t="str">
        <f t="shared" ca="1" si="18"/>
        <v/>
      </c>
      <c r="B375" s="5"/>
      <c r="C375" s="5"/>
      <c r="D375" s="5"/>
      <c r="E375" s="5"/>
      <c r="F375" s="6"/>
      <c r="G375" s="6"/>
      <c r="H375" s="6" t="str">
        <f t="shared" si="16"/>
        <v/>
      </c>
      <c r="I375" s="5" t="str">
        <f t="shared" si="17"/>
        <v/>
      </c>
      <c r="J375" s="5"/>
    </row>
    <row r="376" spans="1:10" x14ac:dyDescent="0.25">
      <c r="A376" s="4" t="str">
        <f t="shared" ca="1" si="18"/>
        <v/>
      </c>
      <c r="B376" s="5"/>
      <c r="C376" s="5"/>
      <c r="D376" s="5"/>
      <c r="E376" s="5"/>
      <c r="F376" s="6"/>
      <c r="G376" s="6"/>
      <c r="H376" s="6" t="str">
        <f t="shared" si="16"/>
        <v/>
      </c>
      <c r="I376" s="5" t="str">
        <f t="shared" si="17"/>
        <v/>
      </c>
      <c r="J376" s="5"/>
    </row>
    <row r="377" spans="1:10" x14ac:dyDescent="0.25">
      <c r="A377" s="4" t="str">
        <f t="shared" ca="1" si="18"/>
        <v/>
      </c>
      <c r="B377" s="5"/>
      <c r="C377" s="5"/>
      <c r="D377" s="5"/>
      <c r="E377" s="5"/>
      <c r="F377" s="6"/>
      <c r="G377" s="6"/>
      <c r="H377" s="6" t="str">
        <f t="shared" si="16"/>
        <v/>
      </c>
      <c r="I377" s="5" t="str">
        <f t="shared" si="17"/>
        <v/>
      </c>
      <c r="J377" s="5"/>
    </row>
    <row r="378" spans="1:10" x14ac:dyDescent="0.25">
      <c r="A378" s="4" t="str">
        <f t="shared" ca="1" si="18"/>
        <v/>
      </c>
      <c r="B378" s="5"/>
      <c r="C378" s="5"/>
      <c r="D378" s="5"/>
      <c r="E378" s="5"/>
      <c r="F378" s="6"/>
      <c r="G378" s="6"/>
      <c r="H378" s="6" t="str">
        <f t="shared" si="16"/>
        <v/>
      </c>
      <c r="I378" s="5" t="str">
        <f t="shared" si="17"/>
        <v/>
      </c>
      <c r="J378" s="5"/>
    </row>
    <row r="379" spans="1:10" x14ac:dyDescent="0.25">
      <c r="A379" s="4" t="str">
        <f t="shared" ca="1" si="18"/>
        <v/>
      </c>
      <c r="B379" s="5"/>
      <c r="C379" s="5"/>
      <c r="D379" s="5"/>
      <c r="E379" s="5"/>
      <c r="F379" s="6"/>
      <c r="G379" s="6"/>
      <c r="H379" s="6" t="str">
        <f t="shared" si="16"/>
        <v/>
      </c>
      <c r="I379" s="5" t="str">
        <f t="shared" si="17"/>
        <v/>
      </c>
      <c r="J379" s="5"/>
    </row>
    <row r="380" spans="1:10" x14ac:dyDescent="0.25">
      <c r="A380" s="4" t="str">
        <f t="shared" ca="1" si="18"/>
        <v/>
      </c>
      <c r="B380" s="5"/>
      <c r="C380" s="5"/>
      <c r="D380" s="5"/>
      <c r="E380" s="5"/>
      <c r="F380" s="6"/>
      <c r="G380" s="6"/>
      <c r="H380" s="6" t="str">
        <f t="shared" si="16"/>
        <v/>
      </c>
      <c r="I380" s="5" t="str">
        <f t="shared" si="17"/>
        <v/>
      </c>
      <c r="J380" s="5"/>
    </row>
    <row r="381" spans="1:10" x14ac:dyDescent="0.25">
      <c r="A381" s="4" t="str">
        <f t="shared" ca="1" si="18"/>
        <v/>
      </c>
      <c r="B381" s="5"/>
      <c r="C381" s="5"/>
      <c r="D381" s="5"/>
      <c r="E381" s="5"/>
      <c r="F381" s="6"/>
      <c r="G381" s="6"/>
      <c r="H381" s="6" t="str">
        <f t="shared" si="16"/>
        <v/>
      </c>
      <c r="I381" s="5" t="str">
        <f t="shared" si="17"/>
        <v/>
      </c>
      <c r="J381" s="5"/>
    </row>
    <row r="382" spans="1:10" x14ac:dyDescent="0.25">
      <c r="A382" s="4" t="str">
        <f t="shared" ca="1" si="18"/>
        <v/>
      </c>
      <c r="B382" s="5"/>
      <c r="C382" s="5"/>
      <c r="D382" s="5"/>
      <c r="E382" s="5"/>
      <c r="F382" s="6"/>
      <c r="G382" s="6"/>
      <c r="H382" s="6" t="str">
        <f t="shared" si="16"/>
        <v/>
      </c>
      <c r="I382" s="5" t="str">
        <f t="shared" si="17"/>
        <v/>
      </c>
      <c r="J382" s="5"/>
    </row>
    <row r="383" spans="1:10" x14ac:dyDescent="0.25">
      <c r="A383" s="4" t="str">
        <f t="shared" ca="1" si="18"/>
        <v/>
      </c>
      <c r="B383" s="5"/>
      <c r="C383" s="5"/>
      <c r="D383" s="5"/>
      <c r="E383" s="5"/>
      <c r="F383" s="6"/>
      <c r="G383" s="6"/>
      <c r="H383" s="6" t="str">
        <f t="shared" si="16"/>
        <v/>
      </c>
      <c r="I383" s="5" t="str">
        <f t="shared" si="17"/>
        <v/>
      </c>
      <c r="J383" s="5"/>
    </row>
    <row r="384" spans="1:10" x14ac:dyDescent="0.25">
      <c r="A384" s="4" t="str">
        <f t="shared" ca="1" si="18"/>
        <v/>
      </c>
      <c r="B384" s="5"/>
      <c r="C384" s="5"/>
      <c r="D384" s="5"/>
      <c r="E384" s="5"/>
      <c r="F384" s="6"/>
      <c r="G384" s="6"/>
      <c r="H384" s="6" t="str">
        <f t="shared" si="16"/>
        <v/>
      </c>
      <c r="I384" s="5" t="str">
        <f t="shared" si="17"/>
        <v/>
      </c>
      <c r="J384" s="5"/>
    </row>
    <row r="385" spans="1:10" x14ac:dyDescent="0.25">
      <c r="A385" s="4" t="str">
        <f t="shared" ca="1" si="18"/>
        <v/>
      </c>
      <c r="B385" s="5"/>
      <c r="C385" s="5"/>
      <c r="D385" s="5"/>
      <c r="E385" s="5"/>
      <c r="F385" s="6"/>
      <c r="G385" s="6"/>
      <c r="H385" s="6" t="str">
        <f t="shared" si="16"/>
        <v/>
      </c>
      <c r="I385" s="5" t="str">
        <f t="shared" si="17"/>
        <v/>
      </c>
      <c r="J385" s="5"/>
    </row>
    <row r="386" spans="1:10" x14ac:dyDescent="0.25">
      <c r="A386" s="4" t="str">
        <f t="shared" ca="1" si="18"/>
        <v/>
      </c>
      <c r="B386" s="5"/>
      <c r="C386" s="5"/>
      <c r="D386" s="5"/>
      <c r="E386" s="5"/>
      <c r="F386" s="6"/>
      <c r="G386" s="6"/>
      <c r="H386" s="6" t="str">
        <f t="shared" si="16"/>
        <v/>
      </c>
      <c r="I386" s="5" t="str">
        <f t="shared" si="17"/>
        <v/>
      </c>
      <c r="J386" s="5"/>
    </row>
    <row r="387" spans="1:10" x14ac:dyDescent="0.25">
      <c r="A387" s="4" t="str">
        <f t="shared" ca="1" si="18"/>
        <v/>
      </c>
      <c r="B387" s="5"/>
      <c r="C387" s="5"/>
      <c r="D387" s="5"/>
      <c r="E387" s="5"/>
      <c r="F387" s="6"/>
      <c r="G387" s="6"/>
      <c r="H387" s="6" t="str">
        <f t="shared" si="16"/>
        <v/>
      </c>
      <c r="I387" s="5" t="str">
        <f t="shared" si="17"/>
        <v/>
      </c>
      <c r="J387" s="5"/>
    </row>
    <row r="388" spans="1:10" x14ac:dyDescent="0.25">
      <c r="A388" s="4" t="str">
        <f t="shared" ca="1" si="18"/>
        <v/>
      </c>
      <c r="B388" s="5"/>
      <c r="C388" s="5"/>
      <c r="D388" s="5"/>
      <c r="E388" s="5"/>
      <c r="F388" s="6"/>
      <c r="G388" s="6"/>
      <c r="H388" s="6" t="str">
        <f t="shared" si="16"/>
        <v/>
      </c>
      <c r="I388" s="5" t="str">
        <f t="shared" si="17"/>
        <v/>
      </c>
      <c r="J388" s="5"/>
    </row>
    <row r="389" spans="1:10" x14ac:dyDescent="0.25">
      <c r="A389" s="4" t="str">
        <f t="shared" ca="1" si="18"/>
        <v/>
      </c>
      <c r="B389" s="5"/>
      <c r="C389" s="5"/>
      <c r="D389" s="5"/>
      <c r="E389" s="5"/>
      <c r="F389" s="6"/>
      <c r="G389" s="6"/>
      <c r="H389" s="6" t="str">
        <f t="shared" ref="H389:H452" si="19">IF(F389="","",MAX(F389-G389,0))</f>
        <v/>
      </c>
      <c r="I389" s="5" t="str">
        <f t="shared" ref="I389:I452" si="20">IF(F389="","",IF(H389=0,"PAGADO","CRÉDITO"))</f>
        <v/>
      </c>
      <c r="J389" s="5"/>
    </row>
    <row r="390" spans="1:10" x14ac:dyDescent="0.25">
      <c r="A390" s="4" t="str">
        <f t="shared" ca="1" si="18"/>
        <v/>
      </c>
      <c r="B390" s="5"/>
      <c r="C390" s="5"/>
      <c r="D390" s="5"/>
      <c r="E390" s="5"/>
      <c r="F390" s="6"/>
      <c r="G390" s="6"/>
      <c r="H390" s="6" t="str">
        <f t="shared" si="19"/>
        <v/>
      </c>
      <c r="I390" s="5" t="str">
        <f t="shared" si="20"/>
        <v/>
      </c>
      <c r="J390" s="5"/>
    </row>
    <row r="391" spans="1:10" x14ac:dyDescent="0.25">
      <c r="A391" s="4" t="str">
        <f t="shared" ca="1" si="18"/>
        <v/>
      </c>
      <c r="B391" s="5"/>
      <c r="C391" s="5"/>
      <c r="D391" s="5"/>
      <c r="E391" s="5"/>
      <c r="F391" s="6"/>
      <c r="G391" s="6"/>
      <c r="H391" s="6" t="str">
        <f t="shared" si="19"/>
        <v/>
      </c>
      <c r="I391" s="5" t="str">
        <f t="shared" si="20"/>
        <v/>
      </c>
      <c r="J391" s="5"/>
    </row>
    <row r="392" spans="1:10" x14ac:dyDescent="0.25">
      <c r="A392" s="4" t="str">
        <f t="shared" ca="1" si="18"/>
        <v/>
      </c>
      <c r="B392" s="5"/>
      <c r="C392" s="5"/>
      <c r="D392" s="5"/>
      <c r="E392" s="5"/>
      <c r="F392" s="6"/>
      <c r="G392" s="6"/>
      <c r="H392" s="6" t="str">
        <f t="shared" si="19"/>
        <v/>
      </c>
      <c r="I392" s="5" t="str">
        <f t="shared" si="20"/>
        <v/>
      </c>
      <c r="J392" s="5"/>
    </row>
    <row r="393" spans="1:10" x14ac:dyDescent="0.25">
      <c r="A393" s="4" t="str">
        <f t="shared" ca="1" si="18"/>
        <v/>
      </c>
      <c r="B393" s="5"/>
      <c r="C393" s="5"/>
      <c r="D393" s="5"/>
      <c r="E393" s="5"/>
      <c r="F393" s="6"/>
      <c r="G393" s="6"/>
      <c r="H393" s="6" t="str">
        <f t="shared" si="19"/>
        <v/>
      </c>
      <c r="I393" s="5" t="str">
        <f t="shared" si="20"/>
        <v/>
      </c>
      <c r="J393" s="5"/>
    </row>
    <row r="394" spans="1:10" x14ac:dyDescent="0.25">
      <c r="A394" s="4" t="str">
        <f t="shared" ca="1" si="18"/>
        <v/>
      </c>
      <c r="B394" s="5"/>
      <c r="C394" s="5"/>
      <c r="D394" s="5"/>
      <c r="E394" s="5"/>
      <c r="F394" s="6"/>
      <c r="G394" s="6"/>
      <c r="H394" s="6" t="str">
        <f t="shared" si="19"/>
        <v/>
      </c>
      <c r="I394" s="5" t="str">
        <f t="shared" si="20"/>
        <v/>
      </c>
      <c r="J394" s="5"/>
    </row>
    <row r="395" spans="1:10" x14ac:dyDescent="0.25">
      <c r="A395" s="4" t="str">
        <f t="shared" ca="1" si="18"/>
        <v/>
      </c>
      <c r="B395" s="5"/>
      <c r="C395" s="5"/>
      <c r="D395" s="5"/>
      <c r="E395" s="5"/>
      <c r="F395" s="6"/>
      <c r="G395" s="6"/>
      <c r="H395" s="6" t="str">
        <f t="shared" si="19"/>
        <v/>
      </c>
      <c r="I395" s="5" t="str">
        <f t="shared" si="20"/>
        <v/>
      </c>
      <c r="J395" s="5"/>
    </row>
    <row r="396" spans="1:10" x14ac:dyDescent="0.25">
      <c r="A396" s="4" t="str">
        <f t="shared" ca="1" si="18"/>
        <v/>
      </c>
      <c r="B396" s="5"/>
      <c r="C396" s="5"/>
      <c r="D396" s="5"/>
      <c r="E396" s="5"/>
      <c r="F396" s="6"/>
      <c r="G396" s="6"/>
      <c r="H396" s="6" t="str">
        <f t="shared" si="19"/>
        <v/>
      </c>
      <c r="I396" s="5" t="str">
        <f t="shared" si="20"/>
        <v/>
      </c>
      <c r="J396" s="5"/>
    </row>
    <row r="397" spans="1:10" x14ac:dyDescent="0.25">
      <c r="A397" s="4" t="str">
        <f t="shared" ca="1" si="18"/>
        <v/>
      </c>
      <c r="B397" s="5"/>
      <c r="C397" s="5"/>
      <c r="D397" s="5"/>
      <c r="E397" s="5"/>
      <c r="F397" s="6"/>
      <c r="G397" s="6"/>
      <c r="H397" s="6" t="str">
        <f t="shared" si="19"/>
        <v/>
      </c>
      <c r="I397" s="5" t="str">
        <f t="shared" si="20"/>
        <v/>
      </c>
      <c r="J397" s="5"/>
    </row>
    <row r="398" spans="1:10" x14ac:dyDescent="0.25">
      <c r="A398" s="4" t="str">
        <f t="shared" ca="1" si="18"/>
        <v/>
      </c>
      <c r="B398" s="5"/>
      <c r="C398" s="5"/>
      <c r="D398" s="5"/>
      <c r="E398" s="5"/>
      <c r="F398" s="6"/>
      <c r="G398" s="6"/>
      <c r="H398" s="6" t="str">
        <f t="shared" si="19"/>
        <v/>
      </c>
      <c r="I398" s="5" t="str">
        <f t="shared" si="20"/>
        <v/>
      </c>
      <c r="J398" s="5"/>
    </row>
    <row r="399" spans="1:10" x14ac:dyDescent="0.25">
      <c r="A399" s="4" t="str">
        <f t="shared" ca="1" si="18"/>
        <v/>
      </c>
      <c r="B399" s="5"/>
      <c r="C399" s="5"/>
      <c r="D399" s="5"/>
      <c r="E399" s="5"/>
      <c r="F399" s="6"/>
      <c r="G399" s="6"/>
      <c r="H399" s="6" t="str">
        <f t="shared" si="19"/>
        <v/>
      </c>
      <c r="I399" s="5" t="str">
        <f t="shared" si="20"/>
        <v/>
      </c>
      <c r="J399" s="5"/>
    </row>
    <row r="400" spans="1:10" x14ac:dyDescent="0.25">
      <c r="A400" s="4" t="str">
        <f t="shared" ca="1" si="18"/>
        <v/>
      </c>
      <c r="B400" s="5"/>
      <c r="C400" s="5"/>
      <c r="D400" s="5"/>
      <c r="E400" s="5"/>
      <c r="F400" s="6"/>
      <c r="G400" s="6"/>
      <c r="H400" s="6" t="str">
        <f t="shared" si="19"/>
        <v/>
      </c>
      <c r="I400" s="5" t="str">
        <f t="shared" si="20"/>
        <v/>
      </c>
      <c r="J400" s="5"/>
    </row>
    <row r="401" spans="1:10" x14ac:dyDescent="0.25">
      <c r="A401" s="4" t="str">
        <f t="shared" ref="A401:A464" ca="1" si="21">IF(B401="","",TODAY())</f>
        <v/>
      </c>
      <c r="B401" s="5"/>
      <c r="C401" s="5"/>
      <c r="D401" s="5"/>
      <c r="E401" s="5"/>
      <c r="F401" s="6"/>
      <c r="G401" s="6"/>
      <c r="H401" s="6" t="str">
        <f t="shared" si="19"/>
        <v/>
      </c>
      <c r="I401" s="5" t="str">
        <f t="shared" si="20"/>
        <v/>
      </c>
      <c r="J401" s="5"/>
    </row>
    <row r="402" spans="1:10" x14ac:dyDescent="0.25">
      <c r="A402" s="4" t="str">
        <f t="shared" ca="1" si="21"/>
        <v/>
      </c>
      <c r="B402" s="5"/>
      <c r="C402" s="5"/>
      <c r="D402" s="5"/>
      <c r="E402" s="5"/>
      <c r="F402" s="6"/>
      <c r="G402" s="6"/>
      <c r="H402" s="6" t="str">
        <f t="shared" si="19"/>
        <v/>
      </c>
      <c r="I402" s="5" t="str">
        <f t="shared" si="20"/>
        <v/>
      </c>
      <c r="J402" s="5"/>
    </row>
    <row r="403" spans="1:10" x14ac:dyDescent="0.25">
      <c r="A403" s="4" t="str">
        <f t="shared" ca="1" si="21"/>
        <v/>
      </c>
      <c r="B403" s="5"/>
      <c r="C403" s="5"/>
      <c r="D403" s="5"/>
      <c r="E403" s="5"/>
      <c r="F403" s="6"/>
      <c r="G403" s="6"/>
      <c r="H403" s="6" t="str">
        <f t="shared" si="19"/>
        <v/>
      </c>
      <c r="I403" s="5" t="str">
        <f t="shared" si="20"/>
        <v/>
      </c>
      <c r="J403" s="5"/>
    </row>
    <row r="404" spans="1:10" x14ac:dyDescent="0.25">
      <c r="A404" s="4" t="str">
        <f t="shared" ca="1" si="21"/>
        <v/>
      </c>
      <c r="B404" s="5"/>
      <c r="C404" s="5"/>
      <c r="D404" s="5"/>
      <c r="E404" s="5"/>
      <c r="F404" s="6"/>
      <c r="G404" s="6"/>
      <c r="H404" s="6" t="str">
        <f t="shared" si="19"/>
        <v/>
      </c>
      <c r="I404" s="5" t="str">
        <f t="shared" si="20"/>
        <v/>
      </c>
      <c r="J404" s="5"/>
    </row>
    <row r="405" spans="1:10" x14ac:dyDescent="0.25">
      <c r="A405" s="4" t="str">
        <f t="shared" ca="1" si="21"/>
        <v/>
      </c>
      <c r="B405" s="5"/>
      <c r="C405" s="5"/>
      <c r="D405" s="5"/>
      <c r="E405" s="5"/>
      <c r="F405" s="6"/>
      <c r="G405" s="6"/>
      <c r="H405" s="6" t="str">
        <f t="shared" si="19"/>
        <v/>
      </c>
      <c r="I405" s="5" t="str">
        <f t="shared" si="20"/>
        <v/>
      </c>
      <c r="J405" s="5"/>
    </row>
    <row r="406" spans="1:10" x14ac:dyDescent="0.25">
      <c r="A406" s="4" t="str">
        <f t="shared" ca="1" si="21"/>
        <v/>
      </c>
      <c r="B406" s="5"/>
      <c r="C406" s="5"/>
      <c r="D406" s="5"/>
      <c r="E406" s="5"/>
      <c r="F406" s="6"/>
      <c r="G406" s="6"/>
      <c r="H406" s="6" t="str">
        <f t="shared" si="19"/>
        <v/>
      </c>
      <c r="I406" s="5" t="str">
        <f t="shared" si="20"/>
        <v/>
      </c>
      <c r="J406" s="5"/>
    </row>
    <row r="407" spans="1:10" x14ac:dyDescent="0.25">
      <c r="A407" s="4" t="str">
        <f t="shared" ca="1" si="21"/>
        <v/>
      </c>
      <c r="B407" s="5"/>
      <c r="C407" s="5"/>
      <c r="D407" s="5"/>
      <c r="E407" s="5"/>
      <c r="F407" s="6"/>
      <c r="G407" s="6"/>
      <c r="H407" s="6" t="str">
        <f t="shared" si="19"/>
        <v/>
      </c>
      <c r="I407" s="5" t="str">
        <f t="shared" si="20"/>
        <v/>
      </c>
      <c r="J407" s="5"/>
    </row>
    <row r="408" spans="1:10" x14ac:dyDescent="0.25">
      <c r="A408" s="4" t="str">
        <f t="shared" ca="1" si="21"/>
        <v/>
      </c>
      <c r="B408" s="5"/>
      <c r="C408" s="5"/>
      <c r="D408" s="5"/>
      <c r="E408" s="5"/>
      <c r="F408" s="6"/>
      <c r="G408" s="6"/>
      <c r="H408" s="6" t="str">
        <f t="shared" si="19"/>
        <v/>
      </c>
      <c r="I408" s="5" t="str">
        <f t="shared" si="20"/>
        <v/>
      </c>
      <c r="J408" s="5"/>
    </row>
    <row r="409" spans="1:10" x14ac:dyDescent="0.25">
      <c r="A409" s="4" t="str">
        <f t="shared" ca="1" si="21"/>
        <v/>
      </c>
      <c r="B409" s="5"/>
      <c r="C409" s="5"/>
      <c r="D409" s="5"/>
      <c r="E409" s="5"/>
      <c r="F409" s="6"/>
      <c r="G409" s="6"/>
      <c r="H409" s="6" t="str">
        <f t="shared" si="19"/>
        <v/>
      </c>
      <c r="I409" s="5" t="str">
        <f t="shared" si="20"/>
        <v/>
      </c>
      <c r="J409" s="5"/>
    </row>
    <row r="410" spans="1:10" x14ac:dyDescent="0.25">
      <c r="A410" s="4" t="str">
        <f t="shared" ca="1" si="21"/>
        <v/>
      </c>
      <c r="B410" s="5"/>
      <c r="C410" s="5"/>
      <c r="D410" s="5"/>
      <c r="E410" s="5"/>
      <c r="F410" s="6"/>
      <c r="G410" s="6"/>
      <c r="H410" s="6" t="str">
        <f t="shared" si="19"/>
        <v/>
      </c>
      <c r="I410" s="5" t="str">
        <f t="shared" si="20"/>
        <v/>
      </c>
      <c r="J410" s="5"/>
    </row>
    <row r="411" spans="1:10" x14ac:dyDescent="0.25">
      <c r="A411" s="4" t="str">
        <f t="shared" ca="1" si="21"/>
        <v/>
      </c>
      <c r="B411" s="5"/>
      <c r="C411" s="5"/>
      <c r="D411" s="5"/>
      <c r="E411" s="5"/>
      <c r="F411" s="6"/>
      <c r="G411" s="6"/>
      <c r="H411" s="6" t="str">
        <f t="shared" si="19"/>
        <v/>
      </c>
      <c r="I411" s="5" t="str">
        <f t="shared" si="20"/>
        <v/>
      </c>
      <c r="J411" s="5"/>
    </row>
    <row r="412" spans="1:10" x14ac:dyDescent="0.25">
      <c r="A412" s="4" t="str">
        <f t="shared" ca="1" si="21"/>
        <v/>
      </c>
      <c r="B412" s="5"/>
      <c r="C412" s="5"/>
      <c r="D412" s="5"/>
      <c r="E412" s="5"/>
      <c r="F412" s="6"/>
      <c r="G412" s="6"/>
      <c r="H412" s="6" t="str">
        <f t="shared" si="19"/>
        <v/>
      </c>
      <c r="I412" s="5" t="str">
        <f t="shared" si="20"/>
        <v/>
      </c>
      <c r="J412" s="5"/>
    </row>
    <row r="413" spans="1:10" x14ac:dyDescent="0.25">
      <c r="A413" s="4" t="str">
        <f t="shared" ca="1" si="21"/>
        <v/>
      </c>
      <c r="B413" s="5"/>
      <c r="C413" s="5"/>
      <c r="D413" s="5"/>
      <c r="E413" s="5"/>
      <c r="F413" s="6"/>
      <c r="G413" s="6"/>
      <c r="H413" s="6" t="str">
        <f t="shared" si="19"/>
        <v/>
      </c>
      <c r="I413" s="5" t="str">
        <f t="shared" si="20"/>
        <v/>
      </c>
      <c r="J413" s="5"/>
    </row>
    <row r="414" spans="1:10" x14ac:dyDescent="0.25">
      <c r="A414" s="4" t="str">
        <f t="shared" ca="1" si="21"/>
        <v/>
      </c>
      <c r="B414" s="5"/>
      <c r="C414" s="5"/>
      <c r="D414" s="5"/>
      <c r="E414" s="5"/>
      <c r="F414" s="6"/>
      <c r="G414" s="6"/>
      <c r="H414" s="6" t="str">
        <f t="shared" si="19"/>
        <v/>
      </c>
      <c r="I414" s="5" t="str">
        <f t="shared" si="20"/>
        <v/>
      </c>
      <c r="J414" s="5"/>
    </row>
    <row r="415" spans="1:10" x14ac:dyDescent="0.25">
      <c r="A415" s="4" t="str">
        <f t="shared" ca="1" si="21"/>
        <v/>
      </c>
      <c r="B415" s="5"/>
      <c r="C415" s="5"/>
      <c r="D415" s="5"/>
      <c r="E415" s="5"/>
      <c r="F415" s="6"/>
      <c r="G415" s="6"/>
      <c r="H415" s="6" t="str">
        <f t="shared" si="19"/>
        <v/>
      </c>
      <c r="I415" s="5" t="str">
        <f t="shared" si="20"/>
        <v/>
      </c>
      <c r="J415" s="5"/>
    </row>
    <row r="416" spans="1:10" x14ac:dyDescent="0.25">
      <c r="A416" s="4" t="str">
        <f t="shared" ca="1" si="21"/>
        <v/>
      </c>
      <c r="B416" s="5"/>
      <c r="C416" s="5"/>
      <c r="D416" s="5"/>
      <c r="E416" s="5"/>
      <c r="F416" s="6"/>
      <c r="G416" s="6"/>
      <c r="H416" s="6" t="str">
        <f t="shared" si="19"/>
        <v/>
      </c>
      <c r="I416" s="5" t="str">
        <f t="shared" si="20"/>
        <v/>
      </c>
      <c r="J416" s="5"/>
    </row>
    <row r="417" spans="1:10" x14ac:dyDescent="0.25">
      <c r="A417" s="4" t="str">
        <f t="shared" ca="1" si="21"/>
        <v/>
      </c>
      <c r="B417" s="5"/>
      <c r="C417" s="5"/>
      <c r="D417" s="5"/>
      <c r="E417" s="5"/>
      <c r="F417" s="6"/>
      <c r="G417" s="6"/>
      <c r="H417" s="6" t="str">
        <f t="shared" si="19"/>
        <v/>
      </c>
      <c r="I417" s="5" t="str">
        <f t="shared" si="20"/>
        <v/>
      </c>
      <c r="J417" s="5"/>
    </row>
    <row r="418" spans="1:10" x14ac:dyDescent="0.25">
      <c r="A418" s="4" t="str">
        <f t="shared" ca="1" si="21"/>
        <v/>
      </c>
      <c r="B418" s="5"/>
      <c r="C418" s="5"/>
      <c r="D418" s="5"/>
      <c r="E418" s="5"/>
      <c r="F418" s="6"/>
      <c r="G418" s="6"/>
      <c r="H418" s="6" t="str">
        <f t="shared" si="19"/>
        <v/>
      </c>
      <c r="I418" s="5" t="str">
        <f t="shared" si="20"/>
        <v/>
      </c>
      <c r="J418" s="5"/>
    </row>
    <row r="419" spans="1:10" x14ac:dyDescent="0.25">
      <c r="A419" s="4" t="str">
        <f t="shared" ca="1" si="21"/>
        <v/>
      </c>
      <c r="B419" s="5"/>
      <c r="C419" s="5"/>
      <c r="D419" s="5"/>
      <c r="E419" s="5"/>
      <c r="F419" s="6"/>
      <c r="G419" s="6"/>
      <c r="H419" s="6" t="str">
        <f t="shared" si="19"/>
        <v/>
      </c>
      <c r="I419" s="5" t="str">
        <f t="shared" si="20"/>
        <v/>
      </c>
      <c r="J419" s="5"/>
    </row>
    <row r="420" spans="1:10" x14ac:dyDescent="0.25">
      <c r="A420" s="4" t="str">
        <f t="shared" ca="1" si="21"/>
        <v/>
      </c>
      <c r="B420" s="5"/>
      <c r="C420" s="5"/>
      <c r="D420" s="5"/>
      <c r="E420" s="5"/>
      <c r="F420" s="6"/>
      <c r="G420" s="6"/>
      <c r="H420" s="6" t="str">
        <f t="shared" si="19"/>
        <v/>
      </c>
      <c r="I420" s="5" t="str">
        <f t="shared" si="20"/>
        <v/>
      </c>
      <c r="J420" s="5"/>
    </row>
    <row r="421" spans="1:10" x14ac:dyDescent="0.25">
      <c r="A421" s="4" t="str">
        <f t="shared" ca="1" si="21"/>
        <v/>
      </c>
      <c r="B421" s="5"/>
      <c r="C421" s="5"/>
      <c r="D421" s="5"/>
      <c r="E421" s="5"/>
      <c r="F421" s="6"/>
      <c r="G421" s="6"/>
      <c r="H421" s="6" t="str">
        <f t="shared" si="19"/>
        <v/>
      </c>
      <c r="I421" s="5" t="str">
        <f t="shared" si="20"/>
        <v/>
      </c>
      <c r="J421" s="5"/>
    </row>
    <row r="422" spans="1:10" x14ac:dyDescent="0.25">
      <c r="A422" s="4" t="str">
        <f t="shared" ca="1" si="21"/>
        <v/>
      </c>
      <c r="B422" s="5"/>
      <c r="C422" s="5"/>
      <c r="D422" s="5"/>
      <c r="E422" s="5"/>
      <c r="F422" s="6"/>
      <c r="G422" s="6"/>
      <c r="H422" s="6" t="str">
        <f t="shared" si="19"/>
        <v/>
      </c>
      <c r="I422" s="5" t="str">
        <f t="shared" si="20"/>
        <v/>
      </c>
      <c r="J422" s="5"/>
    </row>
    <row r="423" spans="1:10" x14ac:dyDescent="0.25">
      <c r="A423" s="4" t="str">
        <f t="shared" ca="1" si="21"/>
        <v/>
      </c>
      <c r="B423" s="5"/>
      <c r="C423" s="5"/>
      <c r="D423" s="5"/>
      <c r="E423" s="5"/>
      <c r="F423" s="6"/>
      <c r="G423" s="6"/>
      <c r="H423" s="6" t="str">
        <f t="shared" si="19"/>
        <v/>
      </c>
      <c r="I423" s="5" t="str">
        <f t="shared" si="20"/>
        <v/>
      </c>
      <c r="J423" s="5"/>
    </row>
    <row r="424" spans="1:10" x14ac:dyDescent="0.25">
      <c r="A424" s="4" t="str">
        <f t="shared" ca="1" si="21"/>
        <v/>
      </c>
      <c r="B424" s="5"/>
      <c r="C424" s="5"/>
      <c r="D424" s="5"/>
      <c r="E424" s="5"/>
      <c r="F424" s="6"/>
      <c r="G424" s="6"/>
      <c r="H424" s="6" t="str">
        <f t="shared" si="19"/>
        <v/>
      </c>
      <c r="I424" s="5" t="str">
        <f t="shared" si="20"/>
        <v/>
      </c>
      <c r="J424" s="5"/>
    </row>
    <row r="425" spans="1:10" x14ac:dyDescent="0.25">
      <c r="A425" s="4" t="str">
        <f t="shared" ca="1" si="21"/>
        <v/>
      </c>
      <c r="B425" s="5"/>
      <c r="C425" s="5"/>
      <c r="D425" s="5"/>
      <c r="E425" s="5"/>
      <c r="F425" s="6"/>
      <c r="G425" s="6"/>
      <c r="H425" s="6" t="str">
        <f t="shared" si="19"/>
        <v/>
      </c>
      <c r="I425" s="5" t="str">
        <f t="shared" si="20"/>
        <v/>
      </c>
      <c r="J425" s="5"/>
    </row>
    <row r="426" spans="1:10" x14ac:dyDescent="0.25">
      <c r="A426" s="4" t="str">
        <f t="shared" ca="1" si="21"/>
        <v/>
      </c>
      <c r="B426" s="5"/>
      <c r="C426" s="5"/>
      <c r="D426" s="5"/>
      <c r="E426" s="5"/>
      <c r="F426" s="6"/>
      <c r="G426" s="6"/>
      <c r="H426" s="6" t="str">
        <f t="shared" si="19"/>
        <v/>
      </c>
      <c r="I426" s="5" t="str">
        <f t="shared" si="20"/>
        <v/>
      </c>
      <c r="J426" s="5"/>
    </row>
    <row r="427" spans="1:10" x14ac:dyDescent="0.25">
      <c r="A427" s="4" t="str">
        <f t="shared" ca="1" si="21"/>
        <v/>
      </c>
      <c r="B427" s="5"/>
      <c r="C427" s="5"/>
      <c r="D427" s="5"/>
      <c r="E427" s="5"/>
      <c r="F427" s="6"/>
      <c r="G427" s="6"/>
      <c r="H427" s="6" t="str">
        <f t="shared" si="19"/>
        <v/>
      </c>
      <c r="I427" s="5" t="str">
        <f t="shared" si="20"/>
        <v/>
      </c>
      <c r="J427" s="5"/>
    </row>
    <row r="428" spans="1:10" x14ac:dyDescent="0.25">
      <c r="A428" s="4" t="str">
        <f t="shared" ca="1" si="21"/>
        <v/>
      </c>
      <c r="B428" s="5"/>
      <c r="C428" s="5"/>
      <c r="D428" s="5"/>
      <c r="E428" s="5"/>
      <c r="F428" s="6"/>
      <c r="G428" s="6"/>
      <c r="H428" s="6" t="str">
        <f t="shared" si="19"/>
        <v/>
      </c>
      <c r="I428" s="5" t="str">
        <f t="shared" si="20"/>
        <v/>
      </c>
      <c r="J428" s="5"/>
    </row>
    <row r="429" spans="1:10" x14ac:dyDescent="0.25">
      <c r="A429" s="4" t="str">
        <f t="shared" ca="1" si="21"/>
        <v/>
      </c>
      <c r="B429" s="5"/>
      <c r="C429" s="5"/>
      <c r="D429" s="5"/>
      <c r="E429" s="5"/>
      <c r="F429" s="6"/>
      <c r="G429" s="6"/>
      <c r="H429" s="6" t="str">
        <f t="shared" si="19"/>
        <v/>
      </c>
      <c r="I429" s="5" t="str">
        <f t="shared" si="20"/>
        <v/>
      </c>
      <c r="J429" s="5"/>
    </row>
    <row r="430" spans="1:10" x14ac:dyDescent="0.25">
      <c r="A430" s="4" t="str">
        <f t="shared" ca="1" si="21"/>
        <v/>
      </c>
      <c r="B430" s="5"/>
      <c r="C430" s="5"/>
      <c r="D430" s="5"/>
      <c r="E430" s="5"/>
      <c r="F430" s="6"/>
      <c r="G430" s="6"/>
      <c r="H430" s="6" t="str">
        <f t="shared" si="19"/>
        <v/>
      </c>
      <c r="I430" s="5" t="str">
        <f t="shared" si="20"/>
        <v/>
      </c>
      <c r="J430" s="5"/>
    </row>
    <row r="431" spans="1:10" x14ac:dyDescent="0.25">
      <c r="A431" s="4" t="str">
        <f t="shared" ca="1" si="21"/>
        <v/>
      </c>
      <c r="B431" s="5"/>
      <c r="C431" s="5"/>
      <c r="D431" s="5"/>
      <c r="E431" s="5"/>
      <c r="F431" s="6"/>
      <c r="G431" s="6"/>
      <c r="H431" s="6" t="str">
        <f t="shared" si="19"/>
        <v/>
      </c>
      <c r="I431" s="5" t="str">
        <f t="shared" si="20"/>
        <v/>
      </c>
      <c r="J431" s="5"/>
    </row>
    <row r="432" spans="1:10" x14ac:dyDescent="0.25">
      <c r="A432" s="4" t="str">
        <f t="shared" ca="1" si="21"/>
        <v/>
      </c>
      <c r="B432" s="5"/>
      <c r="C432" s="5"/>
      <c r="D432" s="5"/>
      <c r="E432" s="5"/>
      <c r="F432" s="6"/>
      <c r="G432" s="6"/>
      <c r="H432" s="6" t="str">
        <f t="shared" si="19"/>
        <v/>
      </c>
      <c r="I432" s="5" t="str">
        <f t="shared" si="20"/>
        <v/>
      </c>
      <c r="J432" s="5"/>
    </row>
    <row r="433" spans="1:10" x14ac:dyDescent="0.25">
      <c r="A433" s="4" t="str">
        <f t="shared" ca="1" si="21"/>
        <v/>
      </c>
      <c r="B433" s="5"/>
      <c r="C433" s="5"/>
      <c r="D433" s="5"/>
      <c r="E433" s="5"/>
      <c r="F433" s="6"/>
      <c r="G433" s="6"/>
      <c r="H433" s="6" t="str">
        <f t="shared" si="19"/>
        <v/>
      </c>
      <c r="I433" s="5" t="str">
        <f t="shared" si="20"/>
        <v/>
      </c>
      <c r="J433" s="5"/>
    </row>
    <row r="434" spans="1:10" x14ac:dyDescent="0.25">
      <c r="A434" s="4" t="str">
        <f t="shared" ca="1" si="21"/>
        <v/>
      </c>
      <c r="B434" s="5"/>
      <c r="C434" s="5"/>
      <c r="D434" s="5"/>
      <c r="E434" s="5"/>
      <c r="F434" s="6"/>
      <c r="G434" s="6"/>
      <c r="H434" s="6" t="str">
        <f t="shared" si="19"/>
        <v/>
      </c>
      <c r="I434" s="5" t="str">
        <f t="shared" si="20"/>
        <v/>
      </c>
      <c r="J434" s="5"/>
    </row>
    <row r="435" spans="1:10" x14ac:dyDescent="0.25">
      <c r="A435" s="4" t="str">
        <f t="shared" ca="1" si="21"/>
        <v/>
      </c>
      <c r="B435" s="5"/>
      <c r="C435" s="5"/>
      <c r="D435" s="5"/>
      <c r="E435" s="5"/>
      <c r="F435" s="6"/>
      <c r="G435" s="6"/>
      <c r="H435" s="6" t="str">
        <f t="shared" si="19"/>
        <v/>
      </c>
      <c r="I435" s="5" t="str">
        <f t="shared" si="20"/>
        <v/>
      </c>
      <c r="J435" s="5"/>
    </row>
    <row r="436" spans="1:10" x14ac:dyDescent="0.25">
      <c r="A436" s="4" t="str">
        <f t="shared" ca="1" si="21"/>
        <v/>
      </c>
      <c r="B436" s="5"/>
      <c r="C436" s="5"/>
      <c r="D436" s="5"/>
      <c r="E436" s="5"/>
      <c r="F436" s="6"/>
      <c r="G436" s="6"/>
      <c r="H436" s="6" t="str">
        <f t="shared" si="19"/>
        <v/>
      </c>
      <c r="I436" s="5" t="str">
        <f t="shared" si="20"/>
        <v/>
      </c>
      <c r="J436" s="5"/>
    </row>
    <row r="437" spans="1:10" x14ac:dyDescent="0.25">
      <c r="A437" s="4" t="str">
        <f t="shared" ca="1" si="21"/>
        <v/>
      </c>
      <c r="B437" s="5"/>
      <c r="C437" s="5"/>
      <c r="D437" s="5"/>
      <c r="E437" s="5"/>
      <c r="F437" s="6"/>
      <c r="G437" s="6"/>
      <c r="H437" s="6" t="str">
        <f t="shared" si="19"/>
        <v/>
      </c>
      <c r="I437" s="5" t="str">
        <f t="shared" si="20"/>
        <v/>
      </c>
      <c r="J437" s="5"/>
    </row>
    <row r="438" spans="1:10" x14ac:dyDescent="0.25">
      <c r="A438" s="4" t="str">
        <f t="shared" ca="1" si="21"/>
        <v/>
      </c>
      <c r="B438" s="5"/>
      <c r="C438" s="5"/>
      <c r="D438" s="5"/>
      <c r="E438" s="5"/>
      <c r="F438" s="6"/>
      <c r="G438" s="6"/>
      <c r="H438" s="6" t="str">
        <f t="shared" si="19"/>
        <v/>
      </c>
      <c r="I438" s="5" t="str">
        <f t="shared" si="20"/>
        <v/>
      </c>
      <c r="J438" s="5"/>
    </row>
    <row r="439" spans="1:10" x14ac:dyDescent="0.25">
      <c r="A439" s="4" t="str">
        <f t="shared" ca="1" si="21"/>
        <v/>
      </c>
      <c r="B439" s="5"/>
      <c r="C439" s="5"/>
      <c r="D439" s="5"/>
      <c r="E439" s="5"/>
      <c r="F439" s="6"/>
      <c r="G439" s="6"/>
      <c r="H439" s="6" t="str">
        <f t="shared" si="19"/>
        <v/>
      </c>
      <c r="I439" s="5" t="str">
        <f t="shared" si="20"/>
        <v/>
      </c>
      <c r="J439" s="5"/>
    </row>
    <row r="440" spans="1:10" x14ac:dyDescent="0.25">
      <c r="A440" s="4" t="str">
        <f t="shared" ca="1" si="21"/>
        <v/>
      </c>
      <c r="B440" s="5"/>
      <c r="C440" s="5"/>
      <c r="D440" s="5"/>
      <c r="E440" s="5"/>
      <c r="F440" s="6"/>
      <c r="G440" s="6"/>
      <c r="H440" s="6" t="str">
        <f t="shared" si="19"/>
        <v/>
      </c>
      <c r="I440" s="5" t="str">
        <f t="shared" si="20"/>
        <v/>
      </c>
      <c r="J440" s="5"/>
    </row>
    <row r="441" spans="1:10" x14ac:dyDescent="0.25">
      <c r="A441" s="4" t="str">
        <f t="shared" ca="1" si="21"/>
        <v/>
      </c>
      <c r="B441" s="5"/>
      <c r="C441" s="5"/>
      <c r="D441" s="5"/>
      <c r="E441" s="5"/>
      <c r="F441" s="6"/>
      <c r="G441" s="6"/>
      <c r="H441" s="6" t="str">
        <f t="shared" si="19"/>
        <v/>
      </c>
      <c r="I441" s="5" t="str">
        <f t="shared" si="20"/>
        <v/>
      </c>
      <c r="J441" s="5"/>
    </row>
    <row r="442" spans="1:10" x14ac:dyDescent="0.25">
      <c r="A442" s="4" t="str">
        <f t="shared" ca="1" si="21"/>
        <v/>
      </c>
      <c r="B442" s="5"/>
      <c r="C442" s="5"/>
      <c r="D442" s="5"/>
      <c r="E442" s="5"/>
      <c r="F442" s="6"/>
      <c r="G442" s="6"/>
      <c r="H442" s="6" t="str">
        <f t="shared" si="19"/>
        <v/>
      </c>
      <c r="I442" s="5" t="str">
        <f t="shared" si="20"/>
        <v/>
      </c>
      <c r="J442" s="5"/>
    </row>
    <row r="443" spans="1:10" x14ac:dyDescent="0.25">
      <c r="A443" s="4" t="str">
        <f t="shared" ca="1" si="21"/>
        <v/>
      </c>
      <c r="B443" s="5"/>
      <c r="C443" s="5"/>
      <c r="D443" s="5"/>
      <c r="E443" s="5"/>
      <c r="F443" s="6"/>
      <c r="G443" s="6"/>
      <c r="H443" s="6" t="str">
        <f t="shared" si="19"/>
        <v/>
      </c>
      <c r="I443" s="5" t="str">
        <f t="shared" si="20"/>
        <v/>
      </c>
      <c r="J443" s="5"/>
    </row>
    <row r="444" spans="1:10" x14ac:dyDescent="0.25">
      <c r="A444" s="4" t="str">
        <f t="shared" ca="1" si="21"/>
        <v/>
      </c>
      <c r="B444" s="5"/>
      <c r="C444" s="5"/>
      <c r="D444" s="5"/>
      <c r="E444" s="5"/>
      <c r="F444" s="6"/>
      <c r="G444" s="6"/>
      <c r="H444" s="6" t="str">
        <f t="shared" si="19"/>
        <v/>
      </c>
      <c r="I444" s="5" t="str">
        <f t="shared" si="20"/>
        <v/>
      </c>
      <c r="J444" s="5"/>
    </row>
    <row r="445" spans="1:10" x14ac:dyDescent="0.25">
      <c r="A445" s="4" t="str">
        <f t="shared" ca="1" si="21"/>
        <v/>
      </c>
      <c r="B445" s="5"/>
      <c r="C445" s="5"/>
      <c r="D445" s="5"/>
      <c r="E445" s="5"/>
      <c r="F445" s="6"/>
      <c r="G445" s="6"/>
      <c r="H445" s="6" t="str">
        <f t="shared" si="19"/>
        <v/>
      </c>
      <c r="I445" s="5" t="str">
        <f t="shared" si="20"/>
        <v/>
      </c>
      <c r="J445" s="5"/>
    </row>
    <row r="446" spans="1:10" x14ac:dyDescent="0.25">
      <c r="A446" s="4" t="str">
        <f t="shared" ca="1" si="21"/>
        <v/>
      </c>
      <c r="B446" s="5"/>
      <c r="C446" s="5"/>
      <c r="D446" s="5"/>
      <c r="E446" s="5"/>
      <c r="F446" s="6"/>
      <c r="G446" s="6"/>
      <c r="H446" s="6" t="str">
        <f t="shared" si="19"/>
        <v/>
      </c>
      <c r="I446" s="5" t="str">
        <f t="shared" si="20"/>
        <v/>
      </c>
      <c r="J446" s="5"/>
    </row>
    <row r="447" spans="1:10" x14ac:dyDescent="0.25">
      <c r="A447" s="4" t="str">
        <f t="shared" ca="1" si="21"/>
        <v/>
      </c>
      <c r="B447" s="5"/>
      <c r="C447" s="5"/>
      <c r="D447" s="5"/>
      <c r="E447" s="5"/>
      <c r="F447" s="6"/>
      <c r="G447" s="6"/>
      <c r="H447" s="6" t="str">
        <f t="shared" si="19"/>
        <v/>
      </c>
      <c r="I447" s="5" t="str">
        <f t="shared" si="20"/>
        <v/>
      </c>
      <c r="J447" s="5"/>
    </row>
    <row r="448" spans="1:10" x14ac:dyDescent="0.25">
      <c r="A448" s="4" t="str">
        <f t="shared" ca="1" si="21"/>
        <v/>
      </c>
      <c r="B448" s="5"/>
      <c r="C448" s="5"/>
      <c r="D448" s="5"/>
      <c r="E448" s="5"/>
      <c r="F448" s="6"/>
      <c r="G448" s="6"/>
      <c r="H448" s="6" t="str">
        <f t="shared" si="19"/>
        <v/>
      </c>
      <c r="I448" s="5" t="str">
        <f t="shared" si="20"/>
        <v/>
      </c>
      <c r="J448" s="5"/>
    </row>
    <row r="449" spans="1:10" x14ac:dyDescent="0.25">
      <c r="A449" s="4" t="str">
        <f t="shared" ca="1" si="21"/>
        <v/>
      </c>
      <c r="B449" s="5"/>
      <c r="C449" s="5"/>
      <c r="D449" s="5"/>
      <c r="E449" s="5"/>
      <c r="F449" s="6"/>
      <c r="G449" s="6"/>
      <c r="H449" s="6" t="str">
        <f t="shared" si="19"/>
        <v/>
      </c>
      <c r="I449" s="5" t="str">
        <f t="shared" si="20"/>
        <v/>
      </c>
      <c r="J449" s="5"/>
    </row>
    <row r="450" spans="1:10" x14ac:dyDescent="0.25">
      <c r="A450" s="4" t="str">
        <f t="shared" ca="1" si="21"/>
        <v/>
      </c>
      <c r="B450" s="5"/>
      <c r="C450" s="5"/>
      <c r="D450" s="5"/>
      <c r="E450" s="5"/>
      <c r="F450" s="6"/>
      <c r="G450" s="6"/>
      <c r="H450" s="6" t="str">
        <f t="shared" si="19"/>
        <v/>
      </c>
      <c r="I450" s="5" t="str">
        <f t="shared" si="20"/>
        <v/>
      </c>
      <c r="J450" s="5"/>
    </row>
    <row r="451" spans="1:10" x14ac:dyDescent="0.25">
      <c r="A451" s="4" t="str">
        <f t="shared" ca="1" si="21"/>
        <v/>
      </c>
      <c r="B451" s="5"/>
      <c r="C451" s="5"/>
      <c r="D451" s="5"/>
      <c r="E451" s="5"/>
      <c r="F451" s="6"/>
      <c r="G451" s="6"/>
      <c r="H451" s="6" t="str">
        <f t="shared" si="19"/>
        <v/>
      </c>
      <c r="I451" s="5" t="str">
        <f t="shared" si="20"/>
        <v/>
      </c>
      <c r="J451" s="5"/>
    </row>
    <row r="452" spans="1:10" x14ac:dyDescent="0.25">
      <c r="A452" s="4" t="str">
        <f t="shared" ca="1" si="21"/>
        <v/>
      </c>
      <c r="B452" s="5"/>
      <c r="C452" s="5"/>
      <c r="D452" s="5"/>
      <c r="E452" s="5"/>
      <c r="F452" s="6"/>
      <c r="G452" s="6"/>
      <c r="H452" s="6" t="str">
        <f t="shared" si="19"/>
        <v/>
      </c>
      <c r="I452" s="5" t="str">
        <f t="shared" si="20"/>
        <v/>
      </c>
      <c r="J452" s="5"/>
    </row>
    <row r="453" spans="1:10" x14ac:dyDescent="0.25">
      <c r="A453" s="4" t="str">
        <f t="shared" ca="1" si="21"/>
        <v/>
      </c>
      <c r="B453" s="5"/>
      <c r="C453" s="5"/>
      <c r="D453" s="5"/>
      <c r="E453" s="5"/>
      <c r="F453" s="6"/>
      <c r="G453" s="6"/>
      <c r="H453" s="6" t="str">
        <f t="shared" ref="H453:H504" si="22">IF(F453="","",MAX(F453-G453,0))</f>
        <v/>
      </c>
      <c r="I453" s="5" t="str">
        <f t="shared" ref="I453:I504" si="23">IF(F453="","",IF(H453=0,"PAGADO","CRÉDITO"))</f>
        <v/>
      </c>
      <c r="J453" s="5"/>
    </row>
    <row r="454" spans="1:10" x14ac:dyDescent="0.25">
      <c r="A454" s="4" t="str">
        <f t="shared" ca="1" si="21"/>
        <v/>
      </c>
      <c r="B454" s="5"/>
      <c r="C454" s="5"/>
      <c r="D454" s="5"/>
      <c r="E454" s="5"/>
      <c r="F454" s="6"/>
      <c r="G454" s="6"/>
      <c r="H454" s="6" t="str">
        <f t="shared" si="22"/>
        <v/>
      </c>
      <c r="I454" s="5" t="str">
        <f t="shared" si="23"/>
        <v/>
      </c>
      <c r="J454" s="5"/>
    </row>
    <row r="455" spans="1:10" x14ac:dyDescent="0.25">
      <c r="A455" s="4" t="str">
        <f t="shared" ca="1" si="21"/>
        <v/>
      </c>
      <c r="B455" s="5"/>
      <c r="C455" s="5"/>
      <c r="D455" s="5"/>
      <c r="E455" s="5"/>
      <c r="F455" s="6"/>
      <c r="G455" s="6"/>
      <c r="H455" s="6" t="str">
        <f t="shared" si="22"/>
        <v/>
      </c>
      <c r="I455" s="5" t="str">
        <f t="shared" si="23"/>
        <v/>
      </c>
      <c r="J455" s="5"/>
    </row>
    <row r="456" spans="1:10" x14ac:dyDescent="0.25">
      <c r="A456" s="4" t="str">
        <f t="shared" ca="1" si="21"/>
        <v/>
      </c>
      <c r="B456" s="5"/>
      <c r="C456" s="5"/>
      <c r="D456" s="5"/>
      <c r="E456" s="5"/>
      <c r="F456" s="6"/>
      <c r="G456" s="6"/>
      <c r="H456" s="6" t="str">
        <f t="shared" si="22"/>
        <v/>
      </c>
      <c r="I456" s="5" t="str">
        <f t="shared" si="23"/>
        <v/>
      </c>
      <c r="J456" s="5"/>
    </row>
    <row r="457" spans="1:10" x14ac:dyDescent="0.25">
      <c r="A457" s="4" t="str">
        <f t="shared" ca="1" si="21"/>
        <v/>
      </c>
      <c r="B457" s="5"/>
      <c r="C457" s="5"/>
      <c r="D457" s="5"/>
      <c r="E457" s="5"/>
      <c r="F457" s="6"/>
      <c r="G457" s="6"/>
      <c r="H457" s="6" t="str">
        <f t="shared" si="22"/>
        <v/>
      </c>
      <c r="I457" s="5" t="str">
        <f t="shared" si="23"/>
        <v/>
      </c>
      <c r="J457" s="5"/>
    </row>
    <row r="458" spans="1:10" x14ac:dyDescent="0.25">
      <c r="A458" s="4" t="str">
        <f t="shared" ca="1" si="21"/>
        <v/>
      </c>
      <c r="B458" s="5"/>
      <c r="C458" s="5"/>
      <c r="D458" s="5"/>
      <c r="E458" s="5"/>
      <c r="F458" s="6"/>
      <c r="G458" s="6"/>
      <c r="H458" s="6" t="str">
        <f t="shared" si="22"/>
        <v/>
      </c>
      <c r="I458" s="5" t="str">
        <f t="shared" si="23"/>
        <v/>
      </c>
      <c r="J458" s="5"/>
    </row>
    <row r="459" spans="1:10" x14ac:dyDescent="0.25">
      <c r="A459" s="4" t="str">
        <f t="shared" ca="1" si="21"/>
        <v/>
      </c>
      <c r="B459" s="5"/>
      <c r="C459" s="5"/>
      <c r="D459" s="5"/>
      <c r="E459" s="5"/>
      <c r="F459" s="6"/>
      <c r="G459" s="6"/>
      <c r="H459" s="6" t="str">
        <f t="shared" si="22"/>
        <v/>
      </c>
      <c r="I459" s="5" t="str">
        <f t="shared" si="23"/>
        <v/>
      </c>
      <c r="J459" s="5"/>
    </row>
    <row r="460" spans="1:10" x14ac:dyDescent="0.25">
      <c r="A460" s="4" t="str">
        <f t="shared" ca="1" si="21"/>
        <v/>
      </c>
      <c r="B460" s="5"/>
      <c r="C460" s="5"/>
      <c r="D460" s="5"/>
      <c r="E460" s="5"/>
      <c r="F460" s="6"/>
      <c r="G460" s="6"/>
      <c r="H460" s="6" t="str">
        <f t="shared" si="22"/>
        <v/>
      </c>
      <c r="I460" s="5" t="str">
        <f t="shared" si="23"/>
        <v/>
      </c>
      <c r="J460" s="5"/>
    </row>
    <row r="461" spans="1:10" x14ac:dyDescent="0.25">
      <c r="A461" s="4" t="str">
        <f t="shared" ca="1" si="21"/>
        <v/>
      </c>
      <c r="B461" s="5"/>
      <c r="C461" s="5"/>
      <c r="D461" s="5"/>
      <c r="E461" s="5"/>
      <c r="F461" s="6"/>
      <c r="G461" s="6"/>
      <c r="H461" s="6" t="str">
        <f t="shared" si="22"/>
        <v/>
      </c>
      <c r="I461" s="5" t="str">
        <f t="shared" si="23"/>
        <v/>
      </c>
      <c r="J461" s="5"/>
    </row>
    <row r="462" spans="1:10" x14ac:dyDescent="0.25">
      <c r="A462" s="4" t="str">
        <f t="shared" ca="1" si="21"/>
        <v/>
      </c>
      <c r="B462" s="5"/>
      <c r="C462" s="5"/>
      <c r="D462" s="5"/>
      <c r="E462" s="5"/>
      <c r="F462" s="6"/>
      <c r="G462" s="6"/>
      <c r="H462" s="6" t="str">
        <f t="shared" si="22"/>
        <v/>
      </c>
      <c r="I462" s="5" t="str">
        <f t="shared" si="23"/>
        <v/>
      </c>
      <c r="J462" s="5"/>
    </row>
    <row r="463" spans="1:10" x14ac:dyDescent="0.25">
      <c r="A463" s="4" t="str">
        <f t="shared" ca="1" si="21"/>
        <v/>
      </c>
      <c r="B463" s="5"/>
      <c r="C463" s="5"/>
      <c r="D463" s="5"/>
      <c r="E463" s="5"/>
      <c r="F463" s="6"/>
      <c r="G463" s="6"/>
      <c r="H463" s="6" t="str">
        <f t="shared" si="22"/>
        <v/>
      </c>
      <c r="I463" s="5" t="str">
        <f t="shared" si="23"/>
        <v/>
      </c>
      <c r="J463" s="5"/>
    </row>
    <row r="464" spans="1:10" x14ac:dyDescent="0.25">
      <c r="A464" s="4" t="str">
        <f t="shared" ca="1" si="21"/>
        <v/>
      </c>
      <c r="B464" s="5"/>
      <c r="C464" s="5"/>
      <c r="D464" s="5"/>
      <c r="E464" s="5"/>
      <c r="F464" s="6"/>
      <c r="G464" s="6"/>
      <c r="H464" s="6" t="str">
        <f t="shared" si="22"/>
        <v/>
      </c>
      <c r="I464" s="5" t="str">
        <f t="shared" si="23"/>
        <v/>
      </c>
      <c r="J464" s="5"/>
    </row>
    <row r="465" spans="1:10" x14ac:dyDescent="0.25">
      <c r="A465" s="4" t="str">
        <f t="shared" ref="A465:A504" ca="1" si="24">IF(B465="","",TODAY())</f>
        <v/>
      </c>
      <c r="B465" s="5"/>
      <c r="C465" s="5"/>
      <c r="D465" s="5"/>
      <c r="E465" s="5"/>
      <c r="F465" s="6"/>
      <c r="G465" s="6"/>
      <c r="H465" s="6" t="str">
        <f t="shared" si="22"/>
        <v/>
      </c>
      <c r="I465" s="5" t="str">
        <f t="shared" si="23"/>
        <v/>
      </c>
      <c r="J465" s="5"/>
    </row>
    <row r="466" spans="1:10" x14ac:dyDescent="0.25">
      <c r="A466" s="4" t="str">
        <f t="shared" ca="1" si="24"/>
        <v/>
      </c>
      <c r="B466" s="5"/>
      <c r="C466" s="5"/>
      <c r="D466" s="5"/>
      <c r="E466" s="5"/>
      <c r="F466" s="6"/>
      <c r="G466" s="6"/>
      <c r="H466" s="6" t="str">
        <f t="shared" si="22"/>
        <v/>
      </c>
      <c r="I466" s="5" t="str">
        <f t="shared" si="23"/>
        <v/>
      </c>
      <c r="J466" s="5"/>
    </row>
    <row r="467" spans="1:10" x14ac:dyDescent="0.25">
      <c r="A467" s="4" t="str">
        <f t="shared" ca="1" si="24"/>
        <v/>
      </c>
      <c r="B467" s="5"/>
      <c r="C467" s="5"/>
      <c r="D467" s="5"/>
      <c r="E467" s="5"/>
      <c r="F467" s="6"/>
      <c r="G467" s="6"/>
      <c r="H467" s="6" t="str">
        <f t="shared" si="22"/>
        <v/>
      </c>
      <c r="I467" s="5" t="str">
        <f t="shared" si="23"/>
        <v/>
      </c>
      <c r="J467" s="5"/>
    </row>
    <row r="468" spans="1:10" x14ac:dyDescent="0.25">
      <c r="A468" s="4" t="str">
        <f t="shared" ca="1" si="24"/>
        <v/>
      </c>
      <c r="B468" s="5"/>
      <c r="C468" s="5"/>
      <c r="D468" s="5"/>
      <c r="E468" s="5"/>
      <c r="F468" s="6"/>
      <c r="G468" s="6"/>
      <c r="H468" s="6" t="str">
        <f t="shared" si="22"/>
        <v/>
      </c>
      <c r="I468" s="5" t="str">
        <f t="shared" si="23"/>
        <v/>
      </c>
      <c r="J468" s="5"/>
    </row>
    <row r="469" spans="1:10" x14ac:dyDescent="0.25">
      <c r="A469" s="4" t="str">
        <f t="shared" ca="1" si="24"/>
        <v/>
      </c>
      <c r="B469" s="5"/>
      <c r="C469" s="5"/>
      <c r="D469" s="5"/>
      <c r="E469" s="5"/>
      <c r="F469" s="6"/>
      <c r="G469" s="6"/>
      <c r="H469" s="6" t="str">
        <f t="shared" si="22"/>
        <v/>
      </c>
      <c r="I469" s="5" t="str">
        <f t="shared" si="23"/>
        <v/>
      </c>
      <c r="J469" s="5"/>
    </row>
    <row r="470" spans="1:10" x14ac:dyDescent="0.25">
      <c r="A470" s="4" t="str">
        <f t="shared" ca="1" si="24"/>
        <v/>
      </c>
      <c r="B470" s="5"/>
      <c r="C470" s="5"/>
      <c r="D470" s="5"/>
      <c r="E470" s="5"/>
      <c r="F470" s="6"/>
      <c r="G470" s="6"/>
      <c r="H470" s="6" t="str">
        <f t="shared" si="22"/>
        <v/>
      </c>
      <c r="I470" s="5" t="str">
        <f t="shared" si="23"/>
        <v/>
      </c>
      <c r="J470" s="5"/>
    </row>
    <row r="471" spans="1:10" x14ac:dyDescent="0.25">
      <c r="A471" s="4" t="str">
        <f t="shared" ca="1" si="24"/>
        <v/>
      </c>
      <c r="B471" s="5"/>
      <c r="C471" s="5"/>
      <c r="D471" s="5"/>
      <c r="E471" s="5"/>
      <c r="F471" s="6"/>
      <c r="G471" s="6"/>
      <c r="H471" s="6" t="str">
        <f t="shared" si="22"/>
        <v/>
      </c>
      <c r="I471" s="5" t="str">
        <f t="shared" si="23"/>
        <v/>
      </c>
      <c r="J471" s="5"/>
    </row>
    <row r="472" spans="1:10" x14ac:dyDescent="0.25">
      <c r="A472" s="4" t="str">
        <f t="shared" ca="1" si="24"/>
        <v/>
      </c>
      <c r="B472" s="5"/>
      <c r="C472" s="5"/>
      <c r="D472" s="5"/>
      <c r="E472" s="5"/>
      <c r="F472" s="6"/>
      <c r="G472" s="6"/>
      <c r="H472" s="6" t="str">
        <f t="shared" si="22"/>
        <v/>
      </c>
      <c r="I472" s="5" t="str">
        <f t="shared" si="23"/>
        <v/>
      </c>
      <c r="J472" s="5"/>
    </row>
    <row r="473" spans="1:10" x14ac:dyDescent="0.25">
      <c r="A473" s="4" t="str">
        <f t="shared" ca="1" si="24"/>
        <v/>
      </c>
      <c r="B473" s="5"/>
      <c r="C473" s="5"/>
      <c r="D473" s="5"/>
      <c r="E473" s="5"/>
      <c r="F473" s="6"/>
      <c r="G473" s="6"/>
      <c r="H473" s="6" t="str">
        <f t="shared" si="22"/>
        <v/>
      </c>
      <c r="I473" s="5" t="str">
        <f t="shared" si="23"/>
        <v/>
      </c>
      <c r="J473" s="5"/>
    </row>
    <row r="474" spans="1:10" x14ac:dyDescent="0.25">
      <c r="A474" s="4" t="str">
        <f t="shared" ca="1" si="24"/>
        <v/>
      </c>
      <c r="B474" s="5"/>
      <c r="C474" s="5"/>
      <c r="D474" s="5"/>
      <c r="E474" s="5"/>
      <c r="F474" s="6"/>
      <c r="G474" s="6"/>
      <c r="H474" s="6" t="str">
        <f t="shared" si="22"/>
        <v/>
      </c>
      <c r="I474" s="5" t="str">
        <f t="shared" si="23"/>
        <v/>
      </c>
      <c r="J474" s="5"/>
    </row>
    <row r="475" spans="1:10" x14ac:dyDescent="0.25">
      <c r="A475" s="4" t="str">
        <f t="shared" ca="1" si="24"/>
        <v/>
      </c>
      <c r="B475" s="5"/>
      <c r="C475" s="5"/>
      <c r="D475" s="5"/>
      <c r="E475" s="5"/>
      <c r="F475" s="6"/>
      <c r="G475" s="6"/>
      <c r="H475" s="6" t="str">
        <f t="shared" si="22"/>
        <v/>
      </c>
      <c r="I475" s="5" t="str">
        <f t="shared" si="23"/>
        <v/>
      </c>
      <c r="J475" s="5"/>
    </row>
    <row r="476" spans="1:10" x14ac:dyDescent="0.25">
      <c r="A476" s="4" t="str">
        <f t="shared" ca="1" si="24"/>
        <v/>
      </c>
      <c r="B476" s="5"/>
      <c r="C476" s="5"/>
      <c r="D476" s="5"/>
      <c r="E476" s="5"/>
      <c r="F476" s="6"/>
      <c r="G476" s="6"/>
      <c r="H476" s="6" t="str">
        <f t="shared" si="22"/>
        <v/>
      </c>
      <c r="I476" s="5" t="str">
        <f t="shared" si="23"/>
        <v/>
      </c>
      <c r="J476" s="5"/>
    </row>
    <row r="477" spans="1:10" x14ac:dyDescent="0.25">
      <c r="A477" s="4" t="str">
        <f t="shared" ca="1" si="24"/>
        <v/>
      </c>
      <c r="B477" s="5"/>
      <c r="C477" s="5"/>
      <c r="D477" s="5"/>
      <c r="E477" s="5"/>
      <c r="F477" s="6"/>
      <c r="G477" s="6"/>
      <c r="H477" s="6" t="str">
        <f t="shared" si="22"/>
        <v/>
      </c>
      <c r="I477" s="5" t="str">
        <f t="shared" si="23"/>
        <v/>
      </c>
      <c r="J477" s="5"/>
    </row>
    <row r="478" spans="1:10" x14ac:dyDescent="0.25">
      <c r="A478" s="4" t="str">
        <f t="shared" ca="1" si="24"/>
        <v/>
      </c>
      <c r="B478" s="5"/>
      <c r="C478" s="5"/>
      <c r="D478" s="5"/>
      <c r="E478" s="5"/>
      <c r="F478" s="6"/>
      <c r="G478" s="6"/>
      <c r="H478" s="6" t="str">
        <f t="shared" si="22"/>
        <v/>
      </c>
      <c r="I478" s="5" t="str">
        <f t="shared" si="23"/>
        <v/>
      </c>
      <c r="J478" s="5"/>
    </row>
    <row r="479" spans="1:10" x14ac:dyDescent="0.25">
      <c r="A479" s="4" t="str">
        <f t="shared" ca="1" si="24"/>
        <v/>
      </c>
      <c r="B479" s="5"/>
      <c r="C479" s="5"/>
      <c r="D479" s="5"/>
      <c r="E479" s="5"/>
      <c r="F479" s="6"/>
      <c r="G479" s="6"/>
      <c r="H479" s="6" t="str">
        <f t="shared" si="22"/>
        <v/>
      </c>
      <c r="I479" s="5" t="str">
        <f t="shared" si="23"/>
        <v/>
      </c>
      <c r="J479" s="5"/>
    </row>
    <row r="480" spans="1:10" x14ac:dyDescent="0.25">
      <c r="A480" s="4" t="str">
        <f t="shared" ca="1" si="24"/>
        <v/>
      </c>
      <c r="B480" s="5"/>
      <c r="C480" s="5"/>
      <c r="D480" s="5"/>
      <c r="E480" s="5"/>
      <c r="F480" s="6"/>
      <c r="G480" s="6"/>
      <c r="H480" s="6" t="str">
        <f t="shared" si="22"/>
        <v/>
      </c>
      <c r="I480" s="5" t="str">
        <f t="shared" si="23"/>
        <v/>
      </c>
      <c r="J480" s="5"/>
    </row>
    <row r="481" spans="1:10" x14ac:dyDescent="0.25">
      <c r="A481" s="4" t="str">
        <f t="shared" ca="1" si="24"/>
        <v/>
      </c>
      <c r="B481" s="5"/>
      <c r="C481" s="5"/>
      <c r="D481" s="5"/>
      <c r="E481" s="5"/>
      <c r="F481" s="6"/>
      <c r="G481" s="6"/>
      <c r="H481" s="6" t="str">
        <f t="shared" si="22"/>
        <v/>
      </c>
      <c r="I481" s="5" t="str">
        <f t="shared" si="23"/>
        <v/>
      </c>
      <c r="J481" s="5"/>
    </row>
    <row r="482" spans="1:10" x14ac:dyDescent="0.25">
      <c r="A482" s="4" t="str">
        <f t="shared" ca="1" si="24"/>
        <v/>
      </c>
      <c r="B482" s="5"/>
      <c r="C482" s="5"/>
      <c r="D482" s="5"/>
      <c r="E482" s="5"/>
      <c r="F482" s="6"/>
      <c r="G482" s="6"/>
      <c r="H482" s="6" t="str">
        <f t="shared" si="22"/>
        <v/>
      </c>
      <c r="I482" s="5" t="str">
        <f t="shared" si="23"/>
        <v/>
      </c>
      <c r="J482" s="5"/>
    </row>
    <row r="483" spans="1:10" x14ac:dyDescent="0.25">
      <c r="A483" s="4" t="str">
        <f t="shared" ca="1" si="24"/>
        <v/>
      </c>
      <c r="B483" s="5"/>
      <c r="C483" s="5"/>
      <c r="D483" s="5"/>
      <c r="E483" s="5"/>
      <c r="F483" s="6"/>
      <c r="G483" s="6"/>
      <c r="H483" s="6" t="str">
        <f t="shared" si="22"/>
        <v/>
      </c>
      <c r="I483" s="5" t="str">
        <f t="shared" si="23"/>
        <v/>
      </c>
      <c r="J483" s="5"/>
    </row>
    <row r="484" spans="1:10" x14ac:dyDescent="0.25">
      <c r="A484" s="4" t="str">
        <f t="shared" ca="1" si="24"/>
        <v/>
      </c>
      <c r="B484" s="5"/>
      <c r="C484" s="5"/>
      <c r="D484" s="5"/>
      <c r="E484" s="5"/>
      <c r="F484" s="6"/>
      <c r="G484" s="6"/>
      <c r="H484" s="6" t="str">
        <f t="shared" si="22"/>
        <v/>
      </c>
      <c r="I484" s="5" t="str">
        <f t="shared" si="23"/>
        <v/>
      </c>
      <c r="J484" s="5"/>
    </row>
    <row r="485" spans="1:10" x14ac:dyDescent="0.25">
      <c r="A485" s="4" t="str">
        <f t="shared" ca="1" si="24"/>
        <v/>
      </c>
      <c r="B485" s="5"/>
      <c r="C485" s="5"/>
      <c r="D485" s="5"/>
      <c r="E485" s="5"/>
      <c r="F485" s="6"/>
      <c r="G485" s="6"/>
      <c r="H485" s="6" t="str">
        <f t="shared" si="22"/>
        <v/>
      </c>
      <c r="I485" s="5" t="str">
        <f t="shared" si="23"/>
        <v/>
      </c>
      <c r="J485" s="5"/>
    </row>
    <row r="486" spans="1:10" x14ac:dyDescent="0.25">
      <c r="A486" s="4" t="str">
        <f t="shared" ca="1" si="24"/>
        <v/>
      </c>
      <c r="B486" s="5"/>
      <c r="C486" s="5"/>
      <c r="D486" s="5"/>
      <c r="E486" s="5"/>
      <c r="F486" s="6"/>
      <c r="G486" s="6"/>
      <c r="H486" s="6" t="str">
        <f t="shared" si="22"/>
        <v/>
      </c>
      <c r="I486" s="5" t="str">
        <f t="shared" si="23"/>
        <v/>
      </c>
      <c r="J486" s="5"/>
    </row>
    <row r="487" spans="1:10" x14ac:dyDescent="0.25">
      <c r="A487" s="4" t="str">
        <f t="shared" ca="1" si="24"/>
        <v/>
      </c>
      <c r="B487" s="5"/>
      <c r="C487" s="5"/>
      <c r="D487" s="5"/>
      <c r="E487" s="5"/>
      <c r="F487" s="6"/>
      <c r="G487" s="6"/>
      <c r="H487" s="6" t="str">
        <f t="shared" si="22"/>
        <v/>
      </c>
      <c r="I487" s="5" t="str">
        <f t="shared" si="23"/>
        <v/>
      </c>
      <c r="J487" s="5"/>
    </row>
    <row r="488" spans="1:10" x14ac:dyDescent="0.25">
      <c r="A488" s="4" t="str">
        <f t="shared" ca="1" si="24"/>
        <v/>
      </c>
      <c r="B488" s="5"/>
      <c r="C488" s="5"/>
      <c r="D488" s="5"/>
      <c r="E488" s="5"/>
      <c r="F488" s="6"/>
      <c r="G488" s="6"/>
      <c r="H488" s="6" t="str">
        <f t="shared" si="22"/>
        <v/>
      </c>
      <c r="I488" s="5" t="str">
        <f t="shared" si="23"/>
        <v/>
      </c>
      <c r="J488" s="5"/>
    </row>
    <row r="489" spans="1:10" x14ac:dyDescent="0.25">
      <c r="A489" s="4" t="str">
        <f t="shared" ca="1" si="24"/>
        <v/>
      </c>
      <c r="B489" s="5"/>
      <c r="C489" s="5"/>
      <c r="D489" s="5"/>
      <c r="E489" s="5"/>
      <c r="F489" s="6"/>
      <c r="G489" s="6"/>
      <c r="H489" s="6" t="str">
        <f t="shared" si="22"/>
        <v/>
      </c>
      <c r="I489" s="5" t="str">
        <f t="shared" si="23"/>
        <v/>
      </c>
      <c r="J489" s="5"/>
    </row>
    <row r="490" spans="1:10" x14ac:dyDescent="0.25">
      <c r="A490" s="4" t="str">
        <f t="shared" ca="1" si="24"/>
        <v/>
      </c>
      <c r="B490" s="5"/>
      <c r="C490" s="5"/>
      <c r="D490" s="5"/>
      <c r="E490" s="5"/>
      <c r="F490" s="6"/>
      <c r="G490" s="6"/>
      <c r="H490" s="6" t="str">
        <f t="shared" si="22"/>
        <v/>
      </c>
      <c r="I490" s="5" t="str">
        <f t="shared" si="23"/>
        <v/>
      </c>
      <c r="J490" s="5"/>
    </row>
    <row r="491" spans="1:10" x14ac:dyDescent="0.25">
      <c r="A491" s="4" t="str">
        <f t="shared" ca="1" si="24"/>
        <v/>
      </c>
      <c r="B491" s="5"/>
      <c r="C491" s="5"/>
      <c r="D491" s="5"/>
      <c r="E491" s="5"/>
      <c r="F491" s="6"/>
      <c r="G491" s="6"/>
      <c r="H491" s="6" t="str">
        <f t="shared" si="22"/>
        <v/>
      </c>
      <c r="I491" s="5" t="str">
        <f t="shared" si="23"/>
        <v/>
      </c>
      <c r="J491" s="5"/>
    </row>
    <row r="492" spans="1:10" x14ac:dyDescent="0.25">
      <c r="A492" s="4" t="str">
        <f t="shared" ca="1" si="24"/>
        <v/>
      </c>
      <c r="B492" s="5"/>
      <c r="C492" s="5"/>
      <c r="D492" s="5"/>
      <c r="E492" s="5"/>
      <c r="F492" s="6"/>
      <c r="G492" s="6"/>
      <c r="H492" s="6" t="str">
        <f t="shared" si="22"/>
        <v/>
      </c>
      <c r="I492" s="5" t="str">
        <f t="shared" si="23"/>
        <v/>
      </c>
      <c r="J492" s="5"/>
    </row>
    <row r="493" spans="1:10" x14ac:dyDescent="0.25">
      <c r="A493" s="4" t="str">
        <f t="shared" ca="1" si="24"/>
        <v/>
      </c>
      <c r="B493" s="5"/>
      <c r="C493" s="5"/>
      <c r="D493" s="5"/>
      <c r="E493" s="5"/>
      <c r="F493" s="6"/>
      <c r="G493" s="6"/>
      <c r="H493" s="6" t="str">
        <f t="shared" si="22"/>
        <v/>
      </c>
      <c r="I493" s="5" t="str">
        <f t="shared" si="23"/>
        <v/>
      </c>
      <c r="J493" s="5"/>
    </row>
    <row r="494" spans="1:10" x14ac:dyDescent="0.25">
      <c r="A494" s="4" t="str">
        <f t="shared" ca="1" si="24"/>
        <v/>
      </c>
      <c r="B494" s="5"/>
      <c r="C494" s="5"/>
      <c r="D494" s="5"/>
      <c r="E494" s="5"/>
      <c r="F494" s="6"/>
      <c r="G494" s="6"/>
      <c r="H494" s="6" t="str">
        <f t="shared" si="22"/>
        <v/>
      </c>
      <c r="I494" s="5" t="str">
        <f t="shared" si="23"/>
        <v/>
      </c>
      <c r="J494" s="5"/>
    </row>
    <row r="495" spans="1:10" x14ac:dyDescent="0.25">
      <c r="A495" s="4" t="str">
        <f t="shared" ca="1" si="24"/>
        <v/>
      </c>
      <c r="B495" s="5"/>
      <c r="C495" s="5"/>
      <c r="D495" s="5"/>
      <c r="E495" s="5"/>
      <c r="F495" s="6"/>
      <c r="G495" s="6"/>
      <c r="H495" s="6" t="str">
        <f t="shared" si="22"/>
        <v/>
      </c>
      <c r="I495" s="5" t="str">
        <f t="shared" si="23"/>
        <v/>
      </c>
      <c r="J495" s="5"/>
    </row>
    <row r="496" spans="1:10" x14ac:dyDescent="0.25">
      <c r="A496" s="4" t="str">
        <f t="shared" ca="1" si="24"/>
        <v/>
      </c>
      <c r="B496" s="5"/>
      <c r="C496" s="5"/>
      <c r="D496" s="5"/>
      <c r="E496" s="5"/>
      <c r="F496" s="6"/>
      <c r="G496" s="6"/>
      <c r="H496" s="6" t="str">
        <f t="shared" si="22"/>
        <v/>
      </c>
      <c r="I496" s="5" t="str">
        <f t="shared" si="23"/>
        <v/>
      </c>
      <c r="J496" s="5"/>
    </row>
    <row r="497" spans="1:10" x14ac:dyDescent="0.25">
      <c r="A497" s="4" t="str">
        <f t="shared" ca="1" si="24"/>
        <v/>
      </c>
      <c r="B497" s="5"/>
      <c r="C497" s="5"/>
      <c r="D497" s="5"/>
      <c r="E497" s="5"/>
      <c r="F497" s="6"/>
      <c r="G497" s="6"/>
      <c r="H497" s="6" t="str">
        <f t="shared" si="22"/>
        <v/>
      </c>
      <c r="I497" s="5" t="str">
        <f t="shared" si="23"/>
        <v/>
      </c>
      <c r="J497" s="5"/>
    </row>
    <row r="498" spans="1:10" x14ac:dyDescent="0.25">
      <c r="A498" s="4" t="str">
        <f t="shared" ca="1" si="24"/>
        <v/>
      </c>
      <c r="B498" s="5"/>
      <c r="C498" s="5"/>
      <c r="D498" s="5"/>
      <c r="E498" s="5"/>
      <c r="F498" s="6"/>
      <c r="G498" s="6"/>
      <c r="H498" s="6" t="str">
        <f t="shared" si="22"/>
        <v/>
      </c>
      <c r="I498" s="5" t="str">
        <f t="shared" si="23"/>
        <v/>
      </c>
      <c r="J498" s="5"/>
    </row>
    <row r="499" spans="1:10" x14ac:dyDescent="0.25">
      <c r="A499" s="4" t="str">
        <f t="shared" ca="1" si="24"/>
        <v/>
      </c>
      <c r="B499" s="5"/>
      <c r="C499" s="5"/>
      <c r="D499" s="5"/>
      <c r="E499" s="5"/>
      <c r="F499" s="6"/>
      <c r="G499" s="6"/>
      <c r="H499" s="6" t="str">
        <f t="shared" si="22"/>
        <v/>
      </c>
      <c r="I499" s="5" t="str">
        <f t="shared" si="23"/>
        <v/>
      </c>
      <c r="J499" s="5"/>
    </row>
    <row r="500" spans="1:10" x14ac:dyDescent="0.25">
      <c r="A500" s="4" t="str">
        <f t="shared" ca="1" si="24"/>
        <v/>
      </c>
      <c r="B500" s="5"/>
      <c r="C500" s="5"/>
      <c r="D500" s="5"/>
      <c r="E500" s="5"/>
      <c r="F500" s="6"/>
      <c r="G500" s="6"/>
      <c r="H500" s="6" t="str">
        <f t="shared" si="22"/>
        <v/>
      </c>
      <c r="I500" s="5" t="str">
        <f t="shared" si="23"/>
        <v/>
      </c>
      <c r="J500" s="5"/>
    </row>
    <row r="501" spans="1:10" x14ac:dyDescent="0.25">
      <c r="A501" s="4" t="str">
        <f t="shared" ca="1" si="24"/>
        <v/>
      </c>
      <c r="B501" s="5"/>
      <c r="C501" s="5"/>
      <c r="D501" s="5"/>
      <c r="E501" s="5"/>
      <c r="F501" s="6"/>
      <c r="G501" s="6"/>
      <c r="H501" s="6" t="str">
        <f t="shared" si="22"/>
        <v/>
      </c>
      <c r="I501" s="5" t="str">
        <f t="shared" si="23"/>
        <v/>
      </c>
      <c r="J501" s="5"/>
    </row>
    <row r="502" spans="1:10" x14ac:dyDescent="0.25">
      <c r="A502" s="4" t="str">
        <f t="shared" ca="1" si="24"/>
        <v/>
      </c>
      <c r="B502" s="5"/>
      <c r="C502" s="5"/>
      <c r="D502" s="5"/>
      <c r="E502" s="5"/>
      <c r="F502" s="6"/>
      <c r="G502" s="6"/>
      <c r="H502" s="6" t="str">
        <f t="shared" si="22"/>
        <v/>
      </c>
      <c r="I502" s="5" t="str">
        <f t="shared" si="23"/>
        <v/>
      </c>
      <c r="J502" s="5"/>
    </row>
    <row r="503" spans="1:10" x14ac:dyDescent="0.25">
      <c r="A503" s="4" t="str">
        <f t="shared" ca="1" si="24"/>
        <v/>
      </c>
      <c r="B503" s="5"/>
      <c r="C503" s="5"/>
      <c r="D503" s="5"/>
      <c r="E503" s="5"/>
      <c r="F503" s="6"/>
      <c r="G503" s="6"/>
      <c r="H503" s="6" t="str">
        <f t="shared" si="22"/>
        <v/>
      </c>
      <c r="I503" s="5" t="str">
        <f t="shared" si="23"/>
        <v/>
      </c>
      <c r="J503" s="5"/>
    </row>
    <row r="504" spans="1:10" x14ac:dyDescent="0.25">
      <c r="A504" s="4" t="str">
        <f t="shared" ca="1" si="24"/>
        <v/>
      </c>
      <c r="B504" s="5"/>
      <c r="C504" s="5"/>
      <c r="D504" s="5"/>
      <c r="E504" s="5"/>
      <c r="F504" s="6"/>
      <c r="G504" s="6"/>
      <c r="H504" s="6" t="str">
        <f t="shared" si="22"/>
        <v/>
      </c>
      <c r="I504" s="5" t="str">
        <f t="shared" si="23"/>
        <v/>
      </c>
      <c r="J504" s="5"/>
    </row>
  </sheetData>
  <autoFilter ref="A4:J504" xr:uid="{00000000-0009-0000-0000-000001000000}"/>
  <mergeCells count="2">
    <mergeCell ref="A1:J1"/>
    <mergeCell ref="A2:J2"/>
  </mergeCells>
  <conditionalFormatting sqref="H5:H504">
    <cfRule type="expression" dxfId="5" priority="1">
      <formula>H5&gt;0</formula>
    </cfRule>
  </conditionalFormatting>
  <conditionalFormatting sqref="I5:I504">
    <cfRule type="expression" dxfId="4" priority="2">
      <formula>I5="CRÉDITO"</formula>
    </cfRule>
    <cfRule type="expression" dxfId="3" priority="3">
      <formula>I5="PAGADO"</formula>
    </cfRule>
  </conditionalFormatting>
  <dataValidations count="2">
    <dataValidation type="list" allowBlank="1" sqref="C5:C504" xr:uid="{00000000-0002-0000-0100-000000000000}">
      <formula1>"Decant 5 ml,Decant 10 ml,Bote sellado"</formula1>
    </dataValidation>
    <dataValidation type="whole" allowBlank="1" sqref="E5:E17 E19:E504" xr:uid="{00000000-0002-0000-0100-000001000000}">
      <formula1>1</formula1>
      <formula2>999</formula2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H30"/>
  <sheetViews>
    <sheetView showGridLines="0" zoomScale="99" workbookViewId="0">
      <pane ySplit="11" topLeftCell="A12" activePane="bottomLeft" state="frozen"/>
      <selection pane="bottomLeft" activeCell="A21" sqref="A21"/>
    </sheetView>
  </sheetViews>
  <sheetFormatPr defaultRowHeight="15" x14ac:dyDescent="0.25"/>
  <cols>
    <col min="1" max="1" width="28" customWidth="1"/>
    <col min="2" max="3" width="16" customWidth="1"/>
    <col min="4" max="4" width="18" customWidth="1"/>
    <col min="5" max="8" width="16" customWidth="1"/>
  </cols>
  <sheetData>
    <row r="1" spans="1:8" ht="32.1" customHeight="1" x14ac:dyDescent="0.35">
      <c r="A1" s="24" t="s">
        <v>53</v>
      </c>
      <c r="B1" s="20"/>
      <c r="C1" s="20"/>
      <c r="D1" s="20"/>
      <c r="E1" s="20"/>
      <c r="F1" s="20"/>
      <c r="G1" s="20"/>
      <c r="H1" s="20"/>
    </row>
    <row r="3" spans="1:8" ht="15.75" customHeight="1" x14ac:dyDescent="0.25">
      <c r="A3" s="8" t="s">
        <v>54</v>
      </c>
      <c r="B3" s="9">
        <f>SUM('Registro de Ventas'!F5:F504)</f>
        <v>13460</v>
      </c>
      <c r="D3" t="s">
        <v>55</v>
      </c>
      <c r="E3" t="s">
        <v>56</v>
      </c>
    </row>
    <row r="4" spans="1:8" ht="15.75" customHeight="1" x14ac:dyDescent="0.25">
      <c r="A4" s="8" t="s">
        <v>57</v>
      </c>
      <c r="B4" s="9">
        <f>SUM('Registro de Ventas'!G5:G504)</f>
        <v>5791</v>
      </c>
    </row>
    <row r="5" spans="1:8" ht="15.75" customHeight="1" x14ac:dyDescent="0.25">
      <c r="A5" s="8" t="s">
        <v>58</v>
      </c>
      <c r="B5" s="9">
        <f>SUM('Registro de Ventas'!H5:H504)</f>
        <v>7669</v>
      </c>
    </row>
    <row r="6" spans="1:8" ht="15.75" customHeight="1" x14ac:dyDescent="0.25">
      <c r="A6" s="8" t="s">
        <v>59</v>
      </c>
      <c r="B6" s="9">
        <f>COUNTIF('Registro de Ventas'!B5:B504,"&lt;&gt;")</f>
        <v>24</v>
      </c>
    </row>
    <row r="7" spans="1:8" ht="15.75" customHeight="1" x14ac:dyDescent="0.25">
      <c r="A7" s="8" t="s">
        <v>60</v>
      </c>
      <c r="B7" s="9">
        <f>COUNTIF('Registro de Ventas'!I5:I504,"CRÉDITO")</f>
        <v>12</v>
      </c>
    </row>
    <row r="10" spans="1:8" x14ac:dyDescent="0.25">
      <c r="A10" s="1" t="s">
        <v>61</v>
      </c>
      <c r="B10" s="1"/>
      <c r="D10" s="1"/>
      <c r="E10" s="1"/>
    </row>
    <row r="11" spans="1:8" x14ac:dyDescent="0.25">
      <c r="A11" s="10" t="s">
        <v>62</v>
      </c>
      <c r="B11" s="10" t="s">
        <v>63</v>
      </c>
      <c r="C11" s="10" t="s">
        <v>19</v>
      </c>
      <c r="D11" s="10" t="s">
        <v>64</v>
      </c>
      <c r="E11" s="10" t="s">
        <v>8</v>
      </c>
      <c r="F11" s="10"/>
      <c r="G11" s="10"/>
      <c r="H11" s="10"/>
    </row>
    <row r="12" spans="1:8" x14ac:dyDescent="0.25">
      <c r="A12" t="s">
        <v>21</v>
      </c>
      <c r="B12" s="11">
        <f>SUMIF('Registro de Ventas'!B$5:B$504,A12,'Registro de Ventas'!F$5:F$504)</f>
        <v>4260</v>
      </c>
      <c r="C12" s="11">
        <f>SUMIF('Registro de Ventas'!B$5:B$504,A12,'Registro de Ventas'!G$5:G$504)</f>
        <v>1000</v>
      </c>
      <c r="D12" s="11">
        <f t="shared" ref="D12:D20" si="0">MAX(B12-C12,0)</f>
        <v>3260</v>
      </c>
      <c r="E12" t="str">
        <f t="shared" ref="E12:E20" si="1">IF(D12=0,"AL DÍA","PENDIENTE")</f>
        <v>PENDIENTE</v>
      </c>
    </row>
    <row r="13" spans="1:8" x14ac:dyDescent="0.25">
      <c r="A13" t="s">
        <v>25</v>
      </c>
      <c r="B13" s="11">
        <f>SUMIF('Registro de Ventas'!B$5:B$504,A13,'Registro de Ventas'!F$5:F$504)</f>
        <v>410</v>
      </c>
      <c r="C13" s="11">
        <f>SUMIF('Registro de Ventas'!B$5:B$504,A13,'Registro de Ventas'!G$5:G$504)</f>
        <v>410</v>
      </c>
      <c r="D13" s="11">
        <f t="shared" si="0"/>
        <v>0</v>
      </c>
      <c r="E13" t="str">
        <f t="shared" si="1"/>
        <v>AL DÍA</v>
      </c>
    </row>
    <row r="14" spans="1:8" x14ac:dyDescent="0.25">
      <c r="A14" t="s">
        <v>29</v>
      </c>
      <c r="B14" s="11">
        <f>SUMIF('Registro de Ventas'!B$5:B$504,A14,'Registro de Ventas'!F$5:F$504)</f>
        <v>185</v>
      </c>
      <c r="C14" s="11">
        <f>SUMIF('Registro de Ventas'!B$5:B$504,A14,'Registro de Ventas'!G$5:G$504)</f>
        <v>185</v>
      </c>
      <c r="D14" s="11">
        <f t="shared" si="0"/>
        <v>0</v>
      </c>
      <c r="E14" t="str">
        <f t="shared" si="1"/>
        <v>AL DÍA</v>
      </c>
    </row>
    <row r="15" spans="1:8" x14ac:dyDescent="0.25">
      <c r="A15" t="s">
        <v>30</v>
      </c>
      <c r="B15" s="11">
        <f>SUMIF('Registro de Ventas'!B$5:B$504,A15,'Registro de Ventas'!F$5:F$504)</f>
        <v>185</v>
      </c>
      <c r="C15" s="11">
        <f>SUMIF('Registro de Ventas'!B$5:B$504,A15,'Registro de Ventas'!G$5:G$504)</f>
        <v>185</v>
      </c>
      <c r="D15" s="11">
        <f t="shared" si="0"/>
        <v>0</v>
      </c>
      <c r="E15" t="str">
        <f t="shared" si="1"/>
        <v>AL DÍA</v>
      </c>
    </row>
    <row r="16" spans="1:8" x14ac:dyDescent="0.25">
      <c r="A16" t="s">
        <v>31</v>
      </c>
      <c r="B16" s="11">
        <f>SUMIF('Registro de Ventas'!B$5:B$504,A16,'Registro de Ventas'!F$5:F$504)</f>
        <v>550</v>
      </c>
      <c r="C16" s="11">
        <f>SUMIF('Registro de Ventas'!B$5:B$504,A16,'Registro de Ventas'!G$5:G$504)</f>
        <v>550</v>
      </c>
      <c r="D16" s="11">
        <f t="shared" si="0"/>
        <v>0</v>
      </c>
      <c r="E16" t="str">
        <f t="shared" si="1"/>
        <v>AL DÍA</v>
      </c>
    </row>
    <row r="17" spans="1:5" x14ac:dyDescent="0.25">
      <c r="A17" t="s">
        <v>32</v>
      </c>
      <c r="B17" s="11">
        <f>SUMIF('Registro de Ventas'!B$5:B$504,A17,'Registro de Ventas'!F$5:F$504)</f>
        <v>325</v>
      </c>
      <c r="C17" s="11">
        <f>SUMIF('Registro de Ventas'!B$5:B$504,A17,'Registro de Ventas'!G$5:G$504)</f>
        <v>325</v>
      </c>
      <c r="D17" s="11">
        <f t="shared" si="0"/>
        <v>0</v>
      </c>
      <c r="E17" t="str">
        <f t="shared" si="1"/>
        <v>AL DÍA</v>
      </c>
    </row>
    <row r="18" spans="1:5" x14ac:dyDescent="0.25">
      <c r="A18" t="s">
        <v>34</v>
      </c>
      <c r="B18" s="11">
        <f>SUMIF('Registro de Ventas'!B$5:B$504,A18,'Registro de Ventas'!F$5:F$504)</f>
        <v>110</v>
      </c>
      <c r="C18" s="11">
        <f>SUMIF('Registro de Ventas'!B$5:B$504,A18,'Registro de Ventas'!G$5:G$504)</f>
        <v>110</v>
      </c>
      <c r="D18" s="11">
        <f t="shared" si="0"/>
        <v>0</v>
      </c>
      <c r="E18" t="str">
        <f t="shared" si="1"/>
        <v>AL DÍA</v>
      </c>
    </row>
    <row r="19" spans="1:5" x14ac:dyDescent="0.25">
      <c r="A19" t="s">
        <v>36</v>
      </c>
      <c r="B19" s="11">
        <f>SUMIF('Registro de Ventas'!B$5:B$504,A19,'Registro de Ventas'!F$5:F$504)</f>
        <v>450</v>
      </c>
      <c r="C19" s="11">
        <f>SUMIF('Registro de Ventas'!B$5:B$504,A19,'Registro de Ventas'!G$5:G$504)</f>
        <v>450</v>
      </c>
      <c r="D19" s="11">
        <f t="shared" si="0"/>
        <v>0</v>
      </c>
      <c r="E19" t="str">
        <f t="shared" si="1"/>
        <v>AL DÍA</v>
      </c>
    </row>
    <row r="20" spans="1:5" x14ac:dyDescent="0.25">
      <c r="A20" t="s">
        <v>39</v>
      </c>
      <c r="B20" s="11">
        <f>SUMIF('Registro de Ventas'!B$5:B$504,A20,'Registro de Ventas'!F$5:F$504)</f>
        <v>325</v>
      </c>
      <c r="C20" s="11">
        <f>SUMIF('Registro de Ventas'!B$5:B$504,A20,'Registro de Ventas'!G$5:G$504)</f>
        <v>325</v>
      </c>
      <c r="D20" s="11">
        <f t="shared" si="0"/>
        <v>0</v>
      </c>
      <c r="E20" t="str">
        <f t="shared" si="1"/>
        <v>AL DÍA</v>
      </c>
    </row>
    <row r="21" spans="1:5" x14ac:dyDescent="0.25">
      <c r="A21" t="s">
        <v>43</v>
      </c>
      <c r="B21" s="11">
        <f>SUMIF('Registro de Ventas'!B$5:B$504,A21,'Registro de Ventas'!F$5:F$504)</f>
        <v>1875</v>
      </c>
      <c r="C21" s="11">
        <f>SUMIF('Registro de Ventas'!B$5:B$504,A21,'Registro de Ventas'!G$5:G$504)</f>
        <v>0</v>
      </c>
      <c r="D21" s="11">
        <f t="shared" ref="D21:D22" si="2">MAX(B21-C21,0)</f>
        <v>1875</v>
      </c>
      <c r="E21" t="str">
        <f t="shared" ref="E21:E22" si="3">IF(D21=0,"AL DÍA","PENDIENTE")</f>
        <v>PENDIENTE</v>
      </c>
    </row>
    <row r="22" spans="1:5" x14ac:dyDescent="0.25">
      <c r="A22" t="s">
        <v>42</v>
      </c>
      <c r="B22" s="11">
        <f>SUMIF('Registro de Ventas'!B$5:B$504,A22,'Registro de Ventas'!F$5:F$504)</f>
        <v>145</v>
      </c>
      <c r="C22" s="11">
        <f>SUMIF('Registro de Ventas'!B$5:B$504,A22,'Registro de Ventas'!G$5:G$504)</f>
        <v>145</v>
      </c>
      <c r="D22" s="11">
        <f t="shared" si="2"/>
        <v>0</v>
      </c>
      <c r="E22" t="str">
        <f t="shared" si="3"/>
        <v>AL DÍA</v>
      </c>
    </row>
    <row r="23" spans="1:5" x14ac:dyDescent="0.25">
      <c r="A23" t="s">
        <v>91</v>
      </c>
      <c r="B23" s="11">
        <f>SUMIF('Registro de Ventas'!B$5:B$504,A23,'Registro de Ventas'!F$5:F$504)</f>
        <v>695</v>
      </c>
      <c r="C23" s="11">
        <f>SUMIF('Registro de Ventas'!B$5:B$504,A23,'Registro de Ventas'!G$5:G$504)</f>
        <v>695</v>
      </c>
      <c r="D23" s="11">
        <f t="shared" ref="D23:D30" si="4">MAX(B23-C23,0)</f>
        <v>0</v>
      </c>
      <c r="E23" t="str">
        <f t="shared" ref="E23:E30" si="5">IF(D23=0,"AL DÍA","PENDIENTE")</f>
        <v>AL DÍA</v>
      </c>
    </row>
    <row r="24" spans="1:5" x14ac:dyDescent="0.25">
      <c r="A24" t="s">
        <v>40</v>
      </c>
      <c r="B24" s="11">
        <f>SUMIF('Registro de Ventas'!B$5:B$504,A24,'Registro de Ventas'!F$5:F$504)</f>
        <v>145</v>
      </c>
      <c r="C24" s="11">
        <f>SUMIF('Registro de Ventas'!B$5:B$504,A24,'Registro de Ventas'!G$5:G$504)</f>
        <v>145</v>
      </c>
      <c r="D24" s="11">
        <f t="shared" si="4"/>
        <v>0</v>
      </c>
      <c r="E24" t="str">
        <f t="shared" si="5"/>
        <v>AL DÍA</v>
      </c>
    </row>
    <row r="25" spans="1:5" x14ac:dyDescent="0.25">
      <c r="A25" t="s">
        <v>92</v>
      </c>
      <c r="B25" s="11">
        <f>SUMIF('Registro de Ventas'!B$5:B$504,A25,'Registro de Ventas'!F$5:F$504)</f>
        <v>3800</v>
      </c>
      <c r="C25" s="11">
        <f>SUMIF('Registro de Ventas'!B$5:B$504,A25,'Registro de Ventas'!G$5:G$504)</f>
        <v>1266</v>
      </c>
      <c r="D25" s="11">
        <f t="shared" si="4"/>
        <v>2534</v>
      </c>
      <c r="E25" t="str">
        <f t="shared" si="5"/>
        <v>PENDIENTE</v>
      </c>
    </row>
    <row r="26" spans="1:5" x14ac:dyDescent="0.25">
      <c r="B26" s="11">
        <f>SUMIF('Registro de Ventas'!B$5:B$504,A26,'Registro de Ventas'!F$5:F$504)</f>
        <v>0</v>
      </c>
      <c r="C26" s="11">
        <f>SUMIF('Registro de Ventas'!B$5:B$504,A26,'Registro de Ventas'!G$5:G$504)</f>
        <v>0</v>
      </c>
      <c r="D26" s="11">
        <f t="shared" si="4"/>
        <v>0</v>
      </c>
      <c r="E26" t="str">
        <f t="shared" si="5"/>
        <v>AL DÍA</v>
      </c>
    </row>
    <row r="27" spans="1:5" x14ac:dyDescent="0.25">
      <c r="B27" s="11">
        <f>SUMIF('Registro de Ventas'!B$5:B$504,A27,'Registro de Ventas'!F$5:F$504)</f>
        <v>0</v>
      </c>
      <c r="C27" s="11">
        <f>SUMIF('Registro de Ventas'!B$5:B$504,A27,'Registro de Ventas'!G$5:G$504)</f>
        <v>0</v>
      </c>
      <c r="D27" s="11">
        <f t="shared" si="4"/>
        <v>0</v>
      </c>
      <c r="E27" t="str">
        <f t="shared" si="5"/>
        <v>AL DÍA</v>
      </c>
    </row>
    <row r="28" spans="1:5" x14ac:dyDescent="0.25">
      <c r="B28" s="11">
        <f>SUMIF('Registro de Ventas'!B$5:B$504,A28,'Registro de Ventas'!F$5:F$504)</f>
        <v>0</v>
      </c>
      <c r="C28" s="11">
        <f>SUMIF('Registro de Ventas'!B$5:B$504,A28,'Registro de Ventas'!G$5:G$504)</f>
        <v>0</v>
      </c>
      <c r="D28" s="11">
        <f t="shared" si="4"/>
        <v>0</v>
      </c>
      <c r="E28" t="str">
        <f t="shared" si="5"/>
        <v>AL DÍA</v>
      </c>
    </row>
    <row r="29" spans="1:5" x14ac:dyDescent="0.25">
      <c r="B29" s="11">
        <f>SUMIF('Registro de Ventas'!B$5:B$504,A29,'Registro de Ventas'!F$5:F$504)</f>
        <v>0</v>
      </c>
      <c r="C29" s="11">
        <f>SUMIF('Registro de Ventas'!B$5:B$504,A29,'Registro de Ventas'!G$5:G$504)</f>
        <v>0</v>
      </c>
      <c r="D29" s="11">
        <f t="shared" si="4"/>
        <v>0</v>
      </c>
      <c r="E29" t="str">
        <f t="shared" si="5"/>
        <v>AL DÍA</v>
      </c>
    </row>
    <row r="30" spans="1:5" x14ac:dyDescent="0.25">
      <c r="B30" s="11">
        <f>SUMIF('Registro de Ventas'!B$5:B$504,A30,'Registro de Ventas'!F$5:F$504)</f>
        <v>0</v>
      </c>
      <c r="C30" s="11">
        <f>SUMIF('Registro de Ventas'!B$5:B$504,A30,'Registro de Ventas'!G$5:G$504)</f>
        <v>0</v>
      </c>
      <c r="D30" s="11">
        <f t="shared" si="4"/>
        <v>0</v>
      </c>
      <c r="E30" t="str">
        <f t="shared" si="5"/>
        <v>AL DÍA</v>
      </c>
    </row>
  </sheetData>
  <mergeCells count="1">
    <mergeCell ref="A1:H1"/>
  </mergeCells>
  <pageMargins left="0.75" right="0.75" top="1" bottom="1" header="0.5" footer="0.5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E103"/>
  <sheetViews>
    <sheetView showGridLines="0" tabSelected="1" workbookViewId="0">
      <pane ySplit="3" topLeftCell="A4" activePane="bottomLeft" state="frozen"/>
      <selection pane="bottomLeft" activeCell="E27" sqref="E27"/>
    </sheetView>
  </sheetViews>
  <sheetFormatPr defaultRowHeight="15" x14ac:dyDescent="0.25"/>
  <cols>
    <col min="1" max="1" width="28" customWidth="1"/>
    <col min="2" max="3" width="16" customWidth="1"/>
    <col min="4" max="4" width="18" customWidth="1"/>
    <col min="5" max="5" width="16" customWidth="1"/>
  </cols>
  <sheetData>
    <row r="1" spans="1:5" ht="23.25" customHeight="1" x14ac:dyDescent="0.35">
      <c r="A1" s="24" t="s">
        <v>66</v>
      </c>
      <c r="B1" s="20"/>
      <c r="C1" s="20"/>
      <c r="D1" s="20"/>
      <c r="E1" s="20"/>
    </row>
    <row r="3" spans="1:5" x14ac:dyDescent="0.25">
      <c r="A3" s="12" t="s">
        <v>62</v>
      </c>
      <c r="B3" s="12" t="s">
        <v>67</v>
      </c>
      <c r="C3" s="12" t="s">
        <v>68</v>
      </c>
      <c r="D3" s="12" t="s">
        <v>69</v>
      </c>
      <c r="E3" s="12" t="s">
        <v>8</v>
      </c>
    </row>
    <row r="4" spans="1:5" x14ac:dyDescent="0.25">
      <c r="A4" t="s">
        <v>21</v>
      </c>
      <c r="B4" s="13">
        <f>SUMIF('Registro de Ventas'!B$5:B$504,A4,'Registro de Ventas'!F$5:F$504)</f>
        <v>4260</v>
      </c>
      <c r="C4" s="13">
        <f>SUMIF('Registro de Ventas'!B$5:B$504,A4,'Registro de Ventas'!G$5:G$504)</f>
        <v>1000</v>
      </c>
      <c r="D4" s="13">
        <f t="shared" ref="D4:D13" si="0">MAX(B4-C4,0)</f>
        <v>3260</v>
      </c>
      <c r="E4" t="str">
        <f t="shared" ref="E4:E13" si="1">IF(D4=0,"AL DÍA","PENDIENTE")</f>
        <v>PENDIENTE</v>
      </c>
    </row>
    <row r="5" spans="1:5" x14ac:dyDescent="0.25">
      <c r="A5" t="s">
        <v>25</v>
      </c>
      <c r="B5" s="13">
        <f>SUMIF('Registro de Ventas'!B$5:B$504,A5,'Registro de Ventas'!F$5:F$504)</f>
        <v>410</v>
      </c>
      <c r="C5" s="13">
        <f>SUMIF('Registro de Ventas'!B$5:B$504,A5,'Registro de Ventas'!G$5:G$504)</f>
        <v>410</v>
      </c>
      <c r="D5" s="13">
        <f t="shared" si="0"/>
        <v>0</v>
      </c>
      <c r="E5" t="str">
        <f t="shared" si="1"/>
        <v>AL DÍA</v>
      </c>
    </row>
    <row r="6" spans="1:5" x14ac:dyDescent="0.25">
      <c r="A6" t="s">
        <v>29</v>
      </c>
      <c r="B6" s="13">
        <f>SUMIF('Registro de Ventas'!B$5:B$504,A6,'Registro de Ventas'!F$5:F$504)</f>
        <v>185</v>
      </c>
      <c r="C6" s="13">
        <f>SUMIF('Registro de Ventas'!B$5:B$504,A6,'Registro de Ventas'!G$5:G$504)</f>
        <v>185</v>
      </c>
      <c r="D6" s="13">
        <f t="shared" si="0"/>
        <v>0</v>
      </c>
      <c r="E6" t="str">
        <f t="shared" si="1"/>
        <v>AL DÍA</v>
      </c>
    </row>
    <row r="7" spans="1:5" x14ac:dyDescent="0.25">
      <c r="A7" t="s">
        <v>30</v>
      </c>
      <c r="B7" s="13">
        <f>SUMIF('Registro de Ventas'!B$5:B$504,A7,'Registro de Ventas'!F$5:F$504)</f>
        <v>185</v>
      </c>
      <c r="C7" s="13">
        <f>SUMIF('Registro de Ventas'!B$5:B$504,A7,'Registro de Ventas'!G$5:G$504)</f>
        <v>185</v>
      </c>
      <c r="D7" s="13">
        <f t="shared" si="0"/>
        <v>0</v>
      </c>
      <c r="E7" t="str">
        <f t="shared" si="1"/>
        <v>AL DÍA</v>
      </c>
    </row>
    <row r="8" spans="1:5" x14ac:dyDescent="0.25">
      <c r="A8" t="s">
        <v>31</v>
      </c>
      <c r="B8" s="13">
        <f>SUMIF('Registro de Ventas'!B$5:B$504,A8,'Registro de Ventas'!F$5:F$504)</f>
        <v>550</v>
      </c>
      <c r="C8" s="13">
        <f>SUMIF('Registro de Ventas'!B$5:B$504,A8,'Registro de Ventas'!G$5:G$504)</f>
        <v>550</v>
      </c>
      <c r="D8" s="13">
        <f t="shared" si="0"/>
        <v>0</v>
      </c>
      <c r="E8" t="str">
        <f t="shared" si="1"/>
        <v>AL DÍA</v>
      </c>
    </row>
    <row r="9" spans="1:5" x14ac:dyDescent="0.25">
      <c r="A9" t="s">
        <v>32</v>
      </c>
      <c r="B9" s="13">
        <f>SUMIF('Registro de Ventas'!B$5:B$504,A9,'Registro de Ventas'!F$5:F$504)</f>
        <v>325</v>
      </c>
      <c r="C9" s="13">
        <f>SUMIF('Registro de Ventas'!B$5:B$504,A9,'Registro de Ventas'!G$5:G$504)</f>
        <v>325</v>
      </c>
      <c r="D9" s="13">
        <f t="shared" si="0"/>
        <v>0</v>
      </c>
      <c r="E9" t="str">
        <f t="shared" si="1"/>
        <v>AL DÍA</v>
      </c>
    </row>
    <row r="10" spans="1:5" x14ac:dyDescent="0.25">
      <c r="A10" t="s">
        <v>34</v>
      </c>
      <c r="B10" s="13">
        <f>SUMIF('Registro de Ventas'!B$5:B$504,A10,'Registro de Ventas'!F$5:F$504)</f>
        <v>110</v>
      </c>
      <c r="C10" s="13">
        <f>SUMIF('Registro de Ventas'!B$5:B$504,A10,'Registro de Ventas'!G$5:G$504)</f>
        <v>110</v>
      </c>
      <c r="D10" s="13">
        <f t="shared" si="0"/>
        <v>0</v>
      </c>
      <c r="E10" t="str">
        <f t="shared" si="1"/>
        <v>AL DÍA</v>
      </c>
    </row>
    <row r="11" spans="1:5" x14ac:dyDescent="0.25">
      <c r="A11" t="s">
        <v>36</v>
      </c>
      <c r="B11" s="13">
        <f>SUMIF('Registro de Ventas'!B$5:B$504,A11,'Registro de Ventas'!F$5:F$504)</f>
        <v>450</v>
      </c>
      <c r="C11" s="13">
        <f>SUMIF('Registro de Ventas'!B$5:B$504,A11,'Registro de Ventas'!G$5:G$504)</f>
        <v>450</v>
      </c>
      <c r="D11" s="13">
        <f t="shared" si="0"/>
        <v>0</v>
      </c>
      <c r="E11" t="str">
        <f t="shared" si="1"/>
        <v>AL DÍA</v>
      </c>
    </row>
    <row r="12" spans="1:5" x14ac:dyDescent="0.25">
      <c r="A12" t="s">
        <v>65</v>
      </c>
      <c r="B12" s="13">
        <f>SUMIF('Registro de Ventas'!B$5:B$504,A12,'Registro de Ventas'!F$5:F$504)</f>
        <v>325</v>
      </c>
      <c r="C12" s="13">
        <f>SUMIF('Registro de Ventas'!B$5:B$504,A12,'Registro de Ventas'!G$5:G$504)</f>
        <v>325</v>
      </c>
      <c r="D12" s="13">
        <f t="shared" si="0"/>
        <v>0</v>
      </c>
      <c r="E12" t="str">
        <f t="shared" si="1"/>
        <v>AL DÍA</v>
      </c>
    </row>
    <row r="13" spans="1:5" x14ac:dyDescent="0.25">
      <c r="A13" t="s">
        <v>92</v>
      </c>
      <c r="B13" s="13">
        <f>SUMIF('Registro de Ventas'!B$5:B$504,A13,'Registro de Ventas'!F$5:F$504)</f>
        <v>3800</v>
      </c>
      <c r="C13" s="13">
        <f>SUMIF('Registro de Ventas'!B$5:B$504,A13,'Registro de Ventas'!G$5:G$504)</f>
        <v>1266</v>
      </c>
      <c r="D13" s="13">
        <f t="shared" si="0"/>
        <v>2534</v>
      </c>
      <c r="E13" t="str">
        <f t="shared" si="1"/>
        <v>PENDIENTE</v>
      </c>
    </row>
    <row r="14" spans="1:5" x14ac:dyDescent="0.25">
      <c r="A14" t="s">
        <v>43</v>
      </c>
      <c r="B14" s="13">
        <f>SUMIF('Registro de Ventas'!B$5:B$504,A14,'Registro de Ventas'!F$5:F$504)</f>
        <v>1875</v>
      </c>
      <c r="C14" s="13">
        <f>SUMIF('Registro de Ventas'!B$5:B$504,A14,'Registro de Ventas'!G$5:G$504)</f>
        <v>0</v>
      </c>
      <c r="D14" s="13">
        <f t="shared" ref="D14" si="2">MAX(B14-C14,0)</f>
        <v>1875</v>
      </c>
      <c r="E14" t="str">
        <f t="shared" ref="E14" si="3">IF(D14=0,"AL DÍA","PENDIENTE")</f>
        <v>PENDIENTE</v>
      </c>
    </row>
    <row r="15" spans="1:5" x14ac:dyDescent="0.25">
      <c r="B15" s="2"/>
      <c r="C15" s="2"/>
      <c r="D15" s="2"/>
    </row>
    <row r="16" spans="1:5" x14ac:dyDescent="0.25">
      <c r="B16" s="2"/>
      <c r="C16" s="2"/>
      <c r="D16" s="2"/>
    </row>
    <row r="17" spans="2:4" x14ac:dyDescent="0.25">
      <c r="B17" s="2"/>
      <c r="C17" s="2"/>
      <c r="D17" s="2"/>
    </row>
    <row r="18" spans="2:4" x14ac:dyDescent="0.25">
      <c r="B18" s="2"/>
      <c r="C18" s="2"/>
      <c r="D18" s="2"/>
    </row>
    <row r="19" spans="2:4" x14ac:dyDescent="0.25">
      <c r="B19" s="2"/>
      <c r="C19" s="2"/>
      <c r="D19" s="2"/>
    </row>
    <row r="20" spans="2:4" x14ac:dyDescent="0.25">
      <c r="B20" s="2"/>
      <c r="C20" s="2"/>
      <c r="D20" s="2"/>
    </row>
    <row r="21" spans="2:4" x14ac:dyDescent="0.25">
      <c r="B21" s="2"/>
      <c r="C21" s="2"/>
      <c r="D21" s="2"/>
    </row>
    <row r="22" spans="2:4" x14ac:dyDescent="0.25">
      <c r="B22" s="2"/>
      <c r="C22" s="2"/>
      <c r="D22" s="2"/>
    </row>
    <row r="23" spans="2:4" x14ac:dyDescent="0.25">
      <c r="B23" s="2"/>
      <c r="C23" s="2"/>
      <c r="D23" s="2"/>
    </row>
    <row r="24" spans="2:4" x14ac:dyDescent="0.25">
      <c r="B24" s="2"/>
      <c r="C24" s="2"/>
      <c r="D24" s="2"/>
    </row>
    <row r="25" spans="2:4" x14ac:dyDescent="0.25">
      <c r="B25" s="2"/>
      <c r="C25" s="2"/>
      <c r="D25" s="2"/>
    </row>
    <row r="26" spans="2:4" x14ac:dyDescent="0.25">
      <c r="B26" s="2"/>
      <c r="C26" s="2"/>
      <c r="D26" s="2"/>
    </row>
    <row r="27" spans="2:4" x14ac:dyDescent="0.25">
      <c r="B27" s="2"/>
      <c r="C27" s="2"/>
      <c r="D27" s="2"/>
    </row>
    <row r="28" spans="2:4" x14ac:dyDescent="0.25">
      <c r="B28" s="2"/>
      <c r="C28" s="2"/>
      <c r="D28" s="2"/>
    </row>
    <row r="29" spans="2:4" x14ac:dyDescent="0.25">
      <c r="B29" s="2"/>
      <c r="C29" s="2"/>
      <c r="D29" s="2"/>
    </row>
    <row r="30" spans="2:4" x14ac:dyDescent="0.25">
      <c r="B30" s="2"/>
      <c r="C30" s="2"/>
      <c r="D30" s="2"/>
    </row>
    <row r="31" spans="2:4" x14ac:dyDescent="0.25">
      <c r="B31" s="2"/>
      <c r="C31" s="2"/>
      <c r="D31" s="2"/>
    </row>
    <row r="32" spans="2:4" x14ac:dyDescent="0.25">
      <c r="B32" s="2"/>
      <c r="C32" s="2"/>
      <c r="D32" s="2"/>
    </row>
    <row r="33" spans="2:4" x14ac:dyDescent="0.25">
      <c r="B33" s="2"/>
      <c r="C33" s="2"/>
      <c r="D33" s="2"/>
    </row>
    <row r="34" spans="2:4" x14ac:dyDescent="0.25">
      <c r="B34" s="2"/>
      <c r="C34" s="2"/>
      <c r="D34" s="2"/>
    </row>
    <row r="35" spans="2:4" x14ac:dyDescent="0.25">
      <c r="B35" s="2"/>
      <c r="C35" s="2"/>
      <c r="D35" s="2"/>
    </row>
    <row r="36" spans="2:4" x14ac:dyDescent="0.25">
      <c r="B36" s="2"/>
      <c r="C36" s="2"/>
      <c r="D36" s="2"/>
    </row>
    <row r="37" spans="2:4" x14ac:dyDescent="0.25">
      <c r="B37" s="2"/>
      <c r="C37" s="2"/>
      <c r="D37" s="2"/>
    </row>
    <row r="38" spans="2:4" x14ac:dyDescent="0.25">
      <c r="B38" s="2"/>
      <c r="C38" s="2"/>
      <c r="D38" s="2"/>
    </row>
    <row r="39" spans="2:4" x14ac:dyDescent="0.25">
      <c r="B39" s="2"/>
      <c r="C39" s="2"/>
      <c r="D39" s="2"/>
    </row>
    <row r="40" spans="2:4" x14ac:dyDescent="0.25">
      <c r="B40" s="2"/>
      <c r="C40" s="2"/>
      <c r="D40" s="2"/>
    </row>
    <row r="41" spans="2:4" x14ac:dyDescent="0.25">
      <c r="B41" s="2"/>
      <c r="C41" s="2"/>
      <c r="D41" s="2"/>
    </row>
    <row r="42" spans="2:4" x14ac:dyDescent="0.25">
      <c r="B42" s="2"/>
      <c r="C42" s="2"/>
      <c r="D42" s="2"/>
    </row>
    <row r="43" spans="2:4" x14ac:dyDescent="0.25">
      <c r="B43" s="2"/>
      <c r="C43" s="2"/>
      <c r="D43" s="2"/>
    </row>
    <row r="44" spans="2:4" x14ac:dyDescent="0.25">
      <c r="B44" s="2"/>
      <c r="C44" s="2"/>
      <c r="D44" s="2"/>
    </row>
    <row r="45" spans="2:4" x14ac:dyDescent="0.25">
      <c r="B45" s="2"/>
      <c r="C45" s="2"/>
      <c r="D45" s="2"/>
    </row>
    <row r="46" spans="2:4" x14ac:dyDescent="0.25">
      <c r="B46" s="2"/>
      <c r="C46" s="2"/>
      <c r="D46" s="2"/>
    </row>
    <row r="47" spans="2:4" x14ac:dyDescent="0.25">
      <c r="B47" s="2"/>
      <c r="C47" s="2"/>
      <c r="D47" s="2"/>
    </row>
    <row r="48" spans="2:4" x14ac:dyDescent="0.25">
      <c r="B48" s="2"/>
      <c r="C48" s="2"/>
      <c r="D48" s="2"/>
    </row>
    <row r="49" spans="2:4" x14ac:dyDescent="0.25">
      <c r="B49" s="2"/>
      <c r="C49" s="2"/>
      <c r="D49" s="2"/>
    </row>
    <row r="50" spans="2:4" x14ac:dyDescent="0.25">
      <c r="B50" s="2"/>
      <c r="C50" s="2"/>
      <c r="D50" s="2"/>
    </row>
    <row r="51" spans="2:4" x14ac:dyDescent="0.25">
      <c r="B51" s="2"/>
      <c r="C51" s="2"/>
      <c r="D51" s="2"/>
    </row>
    <row r="52" spans="2:4" x14ac:dyDescent="0.25">
      <c r="B52" s="2"/>
      <c r="C52" s="2"/>
      <c r="D52" s="2"/>
    </row>
    <row r="53" spans="2:4" x14ac:dyDescent="0.25">
      <c r="B53" s="2"/>
      <c r="C53" s="2"/>
      <c r="D53" s="2"/>
    </row>
    <row r="54" spans="2:4" x14ac:dyDescent="0.25">
      <c r="B54" s="2"/>
      <c r="C54" s="2"/>
      <c r="D54" s="2"/>
    </row>
    <row r="55" spans="2:4" x14ac:dyDescent="0.25">
      <c r="B55" s="2"/>
      <c r="C55" s="2"/>
      <c r="D55" s="2"/>
    </row>
    <row r="56" spans="2:4" x14ac:dyDescent="0.25">
      <c r="B56" s="2"/>
      <c r="C56" s="2"/>
      <c r="D56" s="2"/>
    </row>
    <row r="57" spans="2:4" x14ac:dyDescent="0.25">
      <c r="B57" s="2"/>
      <c r="C57" s="2"/>
      <c r="D57" s="2"/>
    </row>
    <row r="58" spans="2:4" x14ac:dyDescent="0.25">
      <c r="B58" s="2"/>
      <c r="C58" s="2"/>
      <c r="D58" s="2"/>
    </row>
    <row r="59" spans="2:4" x14ac:dyDescent="0.25">
      <c r="B59" s="2"/>
      <c r="C59" s="2"/>
      <c r="D59" s="2"/>
    </row>
    <row r="60" spans="2:4" x14ac:dyDescent="0.25">
      <c r="B60" s="2"/>
      <c r="C60" s="2"/>
      <c r="D60" s="2"/>
    </row>
    <row r="61" spans="2:4" x14ac:dyDescent="0.25">
      <c r="B61" s="2"/>
      <c r="C61" s="2"/>
      <c r="D61" s="2"/>
    </row>
    <row r="62" spans="2:4" x14ac:dyDescent="0.25">
      <c r="B62" s="2"/>
      <c r="C62" s="2"/>
      <c r="D62" s="2"/>
    </row>
    <row r="63" spans="2:4" x14ac:dyDescent="0.25">
      <c r="B63" s="2"/>
      <c r="C63" s="2"/>
      <c r="D63" s="2"/>
    </row>
    <row r="64" spans="2:4" x14ac:dyDescent="0.25">
      <c r="B64" s="2"/>
      <c r="C64" s="2"/>
      <c r="D64" s="2"/>
    </row>
    <row r="65" spans="2:4" x14ac:dyDescent="0.25">
      <c r="B65" s="2"/>
      <c r="C65" s="2"/>
      <c r="D65" s="2"/>
    </row>
    <row r="66" spans="2:4" x14ac:dyDescent="0.25">
      <c r="B66" s="2"/>
      <c r="C66" s="2"/>
      <c r="D66" s="2"/>
    </row>
    <row r="67" spans="2:4" x14ac:dyDescent="0.25">
      <c r="B67" s="2"/>
      <c r="C67" s="2"/>
      <c r="D67" s="2"/>
    </row>
    <row r="68" spans="2:4" x14ac:dyDescent="0.25">
      <c r="B68" s="2"/>
      <c r="C68" s="2"/>
      <c r="D68" s="2"/>
    </row>
    <row r="69" spans="2:4" x14ac:dyDescent="0.25">
      <c r="B69" s="2"/>
      <c r="C69" s="2"/>
      <c r="D69" s="2"/>
    </row>
    <row r="70" spans="2:4" x14ac:dyDescent="0.25">
      <c r="B70" s="2"/>
      <c r="C70" s="2"/>
      <c r="D70" s="2"/>
    </row>
    <row r="71" spans="2:4" x14ac:dyDescent="0.25">
      <c r="B71" s="2"/>
      <c r="C71" s="2"/>
      <c r="D71" s="2"/>
    </row>
    <row r="72" spans="2:4" x14ac:dyDescent="0.25">
      <c r="B72" s="2"/>
      <c r="C72" s="2"/>
      <c r="D72" s="2"/>
    </row>
    <row r="73" spans="2:4" x14ac:dyDescent="0.25">
      <c r="B73" s="2"/>
      <c r="C73" s="2"/>
      <c r="D73" s="2"/>
    </row>
    <row r="74" spans="2:4" x14ac:dyDescent="0.25">
      <c r="B74" s="2"/>
      <c r="C74" s="2"/>
      <c r="D74" s="2"/>
    </row>
    <row r="75" spans="2:4" x14ac:dyDescent="0.25">
      <c r="B75" s="2"/>
      <c r="C75" s="2"/>
      <c r="D75" s="2"/>
    </row>
    <row r="76" spans="2:4" x14ac:dyDescent="0.25">
      <c r="B76" s="2"/>
      <c r="C76" s="2"/>
      <c r="D76" s="2"/>
    </row>
    <row r="77" spans="2:4" x14ac:dyDescent="0.25">
      <c r="B77" s="2"/>
      <c r="C77" s="2"/>
      <c r="D77" s="2"/>
    </row>
    <row r="78" spans="2:4" x14ac:dyDescent="0.25">
      <c r="B78" s="2"/>
      <c r="C78" s="2"/>
      <c r="D78" s="2"/>
    </row>
    <row r="79" spans="2:4" x14ac:dyDescent="0.25">
      <c r="B79" s="2"/>
      <c r="C79" s="2"/>
      <c r="D79" s="2"/>
    </row>
    <row r="80" spans="2:4" x14ac:dyDescent="0.25">
      <c r="B80" s="2"/>
      <c r="C80" s="2"/>
      <c r="D80" s="2"/>
    </row>
    <row r="81" spans="2:4" x14ac:dyDescent="0.25">
      <c r="B81" s="2"/>
      <c r="C81" s="2"/>
      <c r="D81" s="2"/>
    </row>
    <row r="82" spans="2:4" x14ac:dyDescent="0.25">
      <c r="B82" s="2"/>
      <c r="C82" s="2"/>
      <c r="D82" s="2"/>
    </row>
    <row r="83" spans="2:4" x14ac:dyDescent="0.25">
      <c r="B83" s="2"/>
      <c r="C83" s="2"/>
      <c r="D83" s="2"/>
    </row>
    <row r="84" spans="2:4" x14ac:dyDescent="0.25">
      <c r="B84" s="2"/>
      <c r="C84" s="2"/>
      <c r="D84" s="2"/>
    </row>
    <row r="85" spans="2:4" x14ac:dyDescent="0.25">
      <c r="B85" s="2"/>
      <c r="C85" s="2"/>
      <c r="D85" s="2"/>
    </row>
    <row r="86" spans="2:4" x14ac:dyDescent="0.25">
      <c r="B86" s="2"/>
      <c r="C86" s="2"/>
      <c r="D86" s="2"/>
    </row>
    <row r="87" spans="2:4" x14ac:dyDescent="0.25">
      <c r="B87" s="2"/>
      <c r="C87" s="2"/>
      <c r="D87" s="2"/>
    </row>
    <row r="88" spans="2:4" x14ac:dyDescent="0.25">
      <c r="B88" s="2"/>
      <c r="C88" s="2"/>
      <c r="D88" s="2"/>
    </row>
    <row r="89" spans="2:4" x14ac:dyDescent="0.25">
      <c r="B89" s="2"/>
      <c r="C89" s="2"/>
      <c r="D89" s="2"/>
    </row>
    <row r="90" spans="2:4" x14ac:dyDescent="0.25">
      <c r="B90" s="2"/>
      <c r="C90" s="2"/>
      <c r="D90" s="2"/>
    </row>
    <row r="91" spans="2:4" x14ac:dyDescent="0.25">
      <c r="B91" s="2"/>
      <c r="C91" s="2"/>
      <c r="D91" s="2"/>
    </row>
    <row r="92" spans="2:4" x14ac:dyDescent="0.25">
      <c r="B92" s="2"/>
      <c r="C92" s="2"/>
      <c r="D92" s="2"/>
    </row>
    <row r="93" spans="2:4" x14ac:dyDescent="0.25">
      <c r="B93" s="2"/>
      <c r="C93" s="2"/>
      <c r="D93" s="2"/>
    </row>
    <row r="94" spans="2:4" x14ac:dyDescent="0.25">
      <c r="B94" s="2"/>
      <c r="C94" s="2"/>
      <c r="D94" s="2"/>
    </row>
    <row r="95" spans="2:4" x14ac:dyDescent="0.25">
      <c r="B95" s="2"/>
      <c r="C95" s="2"/>
      <c r="D95" s="2"/>
    </row>
    <row r="96" spans="2:4" x14ac:dyDescent="0.25">
      <c r="B96" s="2"/>
      <c r="C96" s="2"/>
      <c r="D96" s="2"/>
    </row>
    <row r="97" spans="2:4" x14ac:dyDescent="0.25">
      <c r="B97" s="2"/>
      <c r="C97" s="2"/>
      <c r="D97" s="2"/>
    </row>
    <row r="98" spans="2:4" x14ac:dyDescent="0.25">
      <c r="B98" s="2"/>
      <c r="C98" s="2"/>
      <c r="D98" s="2"/>
    </row>
    <row r="99" spans="2:4" x14ac:dyDescent="0.25">
      <c r="B99" s="2"/>
      <c r="C99" s="2"/>
      <c r="D99" s="2"/>
    </row>
    <row r="100" spans="2:4" x14ac:dyDescent="0.25">
      <c r="B100" s="2"/>
      <c r="C100" s="2"/>
      <c r="D100" s="2"/>
    </row>
    <row r="101" spans="2:4" x14ac:dyDescent="0.25">
      <c r="B101" s="2"/>
      <c r="C101" s="2"/>
      <c r="D101" s="2"/>
    </row>
    <row r="102" spans="2:4" x14ac:dyDescent="0.25">
      <c r="B102" s="2"/>
      <c r="C102" s="2"/>
      <c r="D102" s="2"/>
    </row>
    <row r="103" spans="2:4" x14ac:dyDescent="0.25">
      <c r="B103" s="2"/>
      <c r="C103" s="2"/>
      <c r="D103" s="2"/>
    </row>
  </sheetData>
  <mergeCells count="1">
    <mergeCell ref="A1:E1"/>
  </mergeCells>
  <conditionalFormatting sqref="D4:D103">
    <cfRule type="expression" dxfId="2" priority="1">
      <formula>D4&gt;0</formula>
    </cfRule>
  </conditionalFormatting>
  <conditionalFormatting sqref="E4:E103">
    <cfRule type="expression" dxfId="1" priority="2">
      <formula>E4="PENDIENTE"</formula>
    </cfRule>
    <cfRule type="expression" dxfId="0" priority="3">
      <formula>E4="AL DÍA"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D11"/>
  <sheetViews>
    <sheetView showGridLines="0" workbookViewId="0">
      <pane ySplit="3" topLeftCell="A4" activePane="bottomLeft" state="frozen"/>
      <selection pane="bottomLeft" activeCell="B5" sqref="B5"/>
    </sheetView>
  </sheetViews>
  <sheetFormatPr defaultRowHeight="15" x14ac:dyDescent="0.25"/>
  <cols>
    <col min="1" max="1" width="10" customWidth="1"/>
    <col min="2" max="2" width="90" customWidth="1"/>
  </cols>
  <sheetData>
    <row r="1" spans="1:4" ht="23.25" customHeight="1" x14ac:dyDescent="0.35">
      <c r="A1" s="25" t="s">
        <v>70</v>
      </c>
      <c r="B1" s="20"/>
      <c r="C1" s="20"/>
      <c r="D1" s="20"/>
    </row>
    <row r="3" spans="1:4" x14ac:dyDescent="0.25">
      <c r="A3" s="1" t="s">
        <v>71</v>
      </c>
      <c r="B3" s="1" t="s">
        <v>72</v>
      </c>
    </row>
    <row r="4" spans="1:4" x14ac:dyDescent="0.25">
      <c r="A4" t="s">
        <v>73</v>
      </c>
      <c r="B4" t="s">
        <v>74</v>
      </c>
    </row>
    <row r="5" spans="1:4" x14ac:dyDescent="0.25">
      <c r="A5" t="s">
        <v>75</v>
      </c>
      <c r="B5" t="s">
        <v>76</v>
      </c>
    </row>
    <row r="6" spans="1:4" x14ac:dyDescent="0.25">
      <c r="A6" t="s">
        <v>77</v>
      </c>
      <c r="B6" t="s">
        <v>78</v>
      </c>
    </row>
    <row r="7" spans="1:4" x14ac:dyDescent="0.25">
      <c r="A7" t="s">
        <v>79</v>
      </c>
      <c r="B7" t="s">
        <v>80</v>
      </c>
    </row>
    <row r="8" spans="1:4" x14ac:dyDescent="0.25">
      <c r="A8" t="s">
        <v>81</v>
      </c>
      <c r="B8" t="s">
        <v>82</v>
      </c>
    </row>
    <row r="9" spans="1:4" x14ac:dyDescent="0.25">
      <c r="A9" t="s">
        <v>83</v>
      </c>
      <c r="B9" t="s">
        <v>84</v>
      </c>
    </row>
    <row r="10" spans="1:4" x14ac:dyDescent="0.25">
      <c r="A10" t="s">
        <v>85</v>
      </c>
      <c r="B10" t="s">
        <v>86</v>
      </c>
    </row>
    <row r="11" spans="1:4" x14ac:dyDescent="0.25">
      <c r="A11" t="s">
        <v>87</v>
      </c>
      <c r="B11" t="s">
        <v>88</v>
      </c>
    </row>
  </sheetData>
  <mergeCells count="1">
    <mergeCell ref="A1:D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Registro de Inventario</vt:lpstr>
      <vt:lpstr>Registro de Ventas</vt:lpstr>
      <vt:lpstr>Resumen</vt:lpstr>
      <vt:lpstr>Control de Créditos</vt:lpstr>
      <vt:lpstr>Cómo usar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Alejandro Reynaud</cp:lastModifiedBy>
  <dcterms:created xsi:type="dcterms:W3CDTF">2026-08-23T04:37:42Z</dcterms:created>
  <dcterms:modified xsi:type="dcterms:W3CDTF">2026-10-01T13:35:21Z</dcterms:modified>
</cp:coreProperties>
</file>